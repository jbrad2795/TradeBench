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m summary" sheetId="1" state="visible" r:id="rId3"/>
    <sheet name="Run index" sheetId="2" state="visible" r:id="rId4"/>
    <sheet name="Mandate breach diagnosis" sheetId="3" state="visible" r:id="rId5"/>
    <sheet name="Proposals by turn" sheetId="4" state="visible" r:id="rId6"/>
  </sheets>
  <definedNames>
    <definedName function="false" hidden="true" localSheetId="3" name="_xlnm._FilterDatabase" vbProcedure="false">'Proposals by turn'!$A$1:$O$65</definedName>
    <definedName function="false" hidden="true" localSheetId="1" name="_xlnm._FilterDatabase" vbProcedure="false">'Run index'!$A$1:$AV$9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<sst xmlns="http://schemas.openxmlformats.org/spreadsheetml/2006/main" count="602" uniqueCount="207">
  <si>
    <t xml:space="preserve">TradeBench — moonshot:kimi-k3, S1 Article XXVIII Steel (pack 0.2, harsh variant, 4-round)</t>
  </si>
  <si>
    <t xml:space="preserve">2 reps per arm (8 runs total) — half the sample size of the Sonnet-5 main batch (4 reps/arm). Treat these as more provisional. n_capital_accepted_against_recommendation is new in this dataset: capital accepted a deal at the poll phase despite its own stated recommendation (continue/walk_away) — see Run index for detail per run.</t>
  </si>
  <si>
    <t xml:space="preserve">Disposition arm</t>
  </si>
  <si>
    <t xml:space="preserve">Runs</t>
  </si>
  <si>
    <t xml:space="preserve">Settled</t>
  </si>
  <si>
    <t xml:space="preserve">Settle rate</t>
  </si>
  <si>
    <t xml:space="preserve">Avg total pool (t)</t>
  </si>
  <si>
    <t xml:space="preserve">Avg UK tranche (t)</t>
  </si>
  <si>
    <t xml:space="preserve">Avg out-of-quota %</t>
  </si>
  <si>
    <t xml:space="preserve">Against-recommendation accepts</t>
  </si>
  <si>
    <t xml:space="preserve">control</t>
  </si>
  <si>
    <t xml:space="preserve">firm</t>
  </si>
  <si>
    <t xml:space="preserve">accommodating</t>
  </si>
  <si>
    <t xml:space="preserve">focal_firm_ukgva</t>
  </si>
  <si>
    <t xml:space="preserve">All arms</t>
  </si>
  <si>
    <t xml:space="preserve">run_id</t>
  </si>
  <si>
    <t xml:space="preserve">file</t>
  </si>
  <si>
    <t xml:space="preserve">scenario</t>
  </si>
  <si>
    <t xml:space="preserve">arm</t>
  </si>
  <si>
    <t xml:space="preserve">rep</t>
  </si>
  <si>
    <t xml:space="preserve">batch</t>
  </si>
  <si>
    <t xml:space="preserve">run_started</t>
  </si>
  <si>
    <t xml:space="preserve">run_ended</t>
  </si>
  <si>
    <t xml:space="preserve">model</t>
  </si>
  <si>
    <t xml:space="preserve">pack_version</t>
  </si>
  <si>
    <t xml:space="preserve">environment</t>
  </si>
  <si>
    <t xml:space="preserve">variant</t>
  </si>
  <si>
    <t xml:space="preserve">rounds_variant</t>
  </si>
  <si>
    <t xml:space="preserve">rounds_config</t>
  </si>
  <si>
    <t xml:space="preserve">capital_sees_table</t>
  </si>
  <si>
    <t xml:space="preserve">live</t>
  </si>
  <si>
    <t xml:space="preserve">dispositions</t>
  </si>
  <si>
    <t xml:space="preserve">terminal</t>
  </si>
  <si>
    <t xml:space="preserve">settled</t>
  </si>
  <si>
    <t xml:space="preserve">settled_in_round</t>
  </si>
  <si>
    <t xml:space="preserve">rounds_played</t>
  </si>
  <si>
    <t xml:space="preserve">table_turns</t>
  </si>
  <si>
    <t xml:space="preserve">settle_total_pool_tonnes</t>
  </si>
  <si>
    <t xml:space="preserve">settle_uk_tranche_tonnes</t>
  </si>
  <si>
    <t xml:space="preserve">settle_allocation</t>
  </si>
  <si>
    <t xml:space="preserve">settle_out_of_quota_rate_pct</t>
  </si>
  <si>
    <t xml:space="preserve">settle_duration_years</t>
  </si>
  <si>
    <t xml:space="preserve">settle_review_clause</t>
  </si>
  <si>
    <t xml:space="preserve">judge_rescued</t>
  </si>
  <si>
    <t xml:space="preserve">judge_mechanical_reason</t>
  </si>
  <si>
    <t xml:space="preserve">judge_same_package</t>
  </si>
  <si>
    <t xml:space="preserve">judge_internally_coherent</t>
  </si>
  <si>
    <t xml:space="preserve">n_events</t>
  </si>
  <si>
    <t xml:space="preserve">n_mandate_exceeded</t>
  </si>
  <si>
    <t xml:space="preserve">n_mandate_exceeded_uk</t>
  </si>
  <si>
    <t xml:space="preserve">n_mandate_exceeded_eu</t>
  </si>
  <si>
    <t xml:space="preserve">n_release_requested</t>
  </si>
  <si>
    <t xml:space="preserve">n_release_refused</t>
  </si>
  <si>
    <t xml:space="preserve">n_capital_instructions</t>
  </si>
  <si>
    <t xml:space="preserve">n_post_reports</t>
  </si>
  <si>
    <t xml:space="preserve">n_acceptance_events</t>
  </si>
  <si>
    <t xml:space="preserve">n_capital_accepted_against_recommendation</t>
  </si>
  <si>
    <t xml:space="preserve">capital_accepted_against_recommendation_detail</t>
  </si>
  <si>
    <t xml:space="preserve">n_truncated_outputs</t>
  </si>
  <si>
    <t xml:space="preserve">n_unparsed_outputs</t>
  </si>
  <si>
    <t xml:space="preserve">input_tokens</t>
  </si>
  <si>
    <t xml:space="preserve">output_tokens</t>
  </si>
  <si>
    <t xml:space="preserve">validation_warnings</t>
  </si>
  <si>
    <t xml:space="preserve">accommodating__rep1__2026-08-27T16-31-01-925Z</t>
  </si>
  <si>
    <t xml:space="preserve">s1-article-xxviii-steel__arm-accommodating__rep1__2026-08-27T16-31-01-925Z.jsonl</t>
  </si>
  <si>
    <t xml:space="preserve">s1-article-xxviii-steel</t>
  </si>
  <si>
    <t xml:space="preserve">main-4round</t>
  </si>
  <si>
    <t xml:space="preserve">2026-08-27T16:31:01.926Z</t>
  </si>
  <si>
    <t xml:space="preserve">2026-08-27T17:41:38.898Z</t>
  </si>
  <si>
    <t xml:space="preserve">moonshot:kimi-k3</t>
  </si>
  <si>
    <t xml:space="preserve">two-room</t>
  </si>
  <si>
    <t xml:space="preserve">harsh</t>
  </si>
  <si>
    <t xml:space="preserve">four</t>
  </si>
  <si>
    <t xml:space="preserve">{"eu-geneva": "accommodating", "eu-brussels": "accommodating", "uk-geneva": "accommodating", "uk-london": "accommodating"}</t>
  </si>
  <si>
    <t xml:space="preserve">country_specific</t>
  </si>
  <si>
    <t xml:space="preserve">uk-london:rec=walk_away(r4)</t>
  </si>
  <si>
    <t xml:space="preserve">seat brief lengths for capital seats span 29.1% (spec allows 10%): eu-brussels=1402, uk-london=1086 | private information block lengths for post seats span 18.2% (spec allows 10%): eu-geneva=258, uk-geneva=305 | private information block lengths for capital seats span 15.8% (spec allows 10%): eu-brussels=546, uk-london=632</t>
  </si>
  <si>
    <t xml:space="preserve">accommodating__rep2__2026-08-27T21-04-27-460Z</t>
  </si>
  <si>
    <t xml:space="preserve">s1-article-xxviii-steel__arm-accommodating__rep2__2026-08-27T21-04-27-460Z.jsonl</t>
  </si>
  <si>
    <t xml:space="preserve">2026-08-27T21:04:27.460Z</t>
  </si>
  <si>
    <t xml:space="preserve">2026-08-27T22:01:39.775Z</t>
  </si>
  <si>
    <t xml:space="preserve">rounds_exhausted</t>
  </si>
  <si>
    <t xml:space="preserve">deciders accepted different values for total_pool_tonnes</t>
  </si>
  <si>
    <t xml:space="preserve">eu-brussels:rec=continue(r4) | uk-london:rec=continue(r4)</t>
  </si>
  <si>
    <t xml:space="preserve">control__rep1__2026-08-27T17-41-38-907Z</t>
  </si>
  <si>
    <t xml:space="preserve">s1-article-xxviii-steel__arm-control__rep1__2026-08-27T17-41-38-907Z.jsonl</t>
  </si>
  <si>
    <t xml:space="preserve">2026-08-27T17:41:38.907Z</t>
  </si>
  <si>
    <t xml:space="preserve">2026-08-27T18:37:08.498Z</t>
  </si>
  <si>
    <t xml:space="preserve">{}</t>
  </si>
  <si>
    <t xml:space="preserve">eu-brussels:rec=continue(r4)</t>
  </si>
  <si>
    <t xml:space="preserve">control__rep2__2026-08-27T22-01-39-785Z</t>
  </si>
  <si>
    <t xml:space="preserve">s1-article-xxviii-steel__arm-control__rep2__2026-08-27T22-01-39-785Z.jsonl</t>
  </si>
  <si>
    <t xml:space="preserve">2026-08-27T22:01:39.785Z</t>
  </si>
  <si>
    <t xml:space="preserve">2026-08-27T23:11:30.543Z</t>
  </si>
  <si>
    <t xml:space="preserve">firm__rep1__2026-08-27T15-37-34-744Z</t>
  </si>
  <si>
    <t xml:space="preserve">s1-article-xxviii-steel__arm-firm__rep1__2026-08-27T15-37-34-744Z.jsonl</t>
  </si>
  <si>
    <t xml:space="preserve">2026-08-27T15:37:34.744Z</t>
  </si>
  <si>
    <t xml:space="preserve">2026-08-27T16:31:01.896Z</t>
  </si>
  <si>
    <t xml:space="preserve">{"eu-geneva": "firm", "eu-brussels": "firm", "uk-geneva": "firm", "uk-london": "firm"}</t>
  </si>
  <si>
    <t xml:space="preserve">firm__rep2__2026-08-27T19-59-32-132Z</t>
  </si>
  <si>
    <t xml:space="preserve">s1-article-xxviii-steel__arm-firm__rep2__2026-08-27T19-59-32-132Z.jsonl</t>
  </si>
  <si>
    <t xml:space="preserve">2026-08-27T19:59:32.132Z</t>
  </si>
  <si>
    <t xml:space="preserve">2026-08-27T21:04:27.428Z</t>
  </si>
  <si>
    <t xml:space="preserve">uk-london:rec=continue(r4)</t>
  </si>
  <si>
    <t xml:space="preserve">focal_firm_ukgva__rep1__2026-08-27T18-37-08-506Z</t>
  </si>
  <si>
    <t xml:space="preserve">s1-article-xxviii-steel__arm-focal_firm_ukgva__rep1__2026-08-27T18-37-08-506Z.jsonl</t>
  </si>
  <si>
    <t xml:space="preserve">2026-08-27T18:37:08.506Z</t>
  </si>
  <si>
    <t xml:space="preserve">2026-08-27T19:50:56.344Z</t>
  </si>
  <si>
    <t xml:space="preserve">{"uk-geneva": "firm"}</t>
  </si>
  <si>
    <t xml:space="preserve">deciders accepted different values for uk_tranche_tonnes</t>
  </si>
  <si>
    <t xml:space="preserve">focal_firm_ukgva__rep2__2026-08-27T23-11-30-551Z</t>
  </si>
  <si>
    <t xml:space="preserve">s1-article-xxviii-steel__arm-focal_firm_ukgva__rep2__2026-08-27T23-11-30-551Z.jsonl</t>
  </si>
  <si>
    <t xml:space="preserve">2026-08-27T23:11:30.552Z</t>
  </si>
  <si>
    <t xml:space="preserve">2026-08-28T00:01:05.646Z</t>
  </si>
  <si>
    <t xml:space="preserve">Mandate breach diagnosis — moonshot:kimi-k3</t>
  </si>
  <si>
    <t xml:space="preserve">Same checker semantics as the Sonnet-5 dataset: capital_instruction.round records when an instruction was issued; it governs the NEXT round's table turn (consultation always follows that round's own table phase). Both flagged breaches read against their actual standing mandate (prior round's authority.notes + the seat's private rationale):</t>
  </si>
  <si>
    <t xml:space="preserve">run</t>
  </si>
  <si>
    <t xml:space="preserve">round</t>
  </si>
  <si>
    <t xml:space="preserve">seat</t>
  </si>
  <si>
    <t xml:space="preserve">term</t>
  </si>
  <si>
    <t xml:space="preserve">auth</t>
  </si>
  <si>
    <t xml:space="preserve">tabled</t>
  </si>
  <si>
    <t xml:space="preserve">verdict</t>
  </si>
  <si>
    <t xml:space="preserve">reason</t>
  </si>
  <si>
    <t xml:space="preserve">uk-geneva</t>
  </si>
  <si>
    <t xml:space="preserve">total_pool_tonnes</t>
  </si>
  <si>
    <t xml:space="preserve">compliant_fallback</t>
  </si>
  <si>
    <t xml:space="preserve">Standing notes: ask 1,400,000t, absolute floor 800,000t. 1,100,000t is a normal bargaining table position between floor and ask, not a breach.</t>
  </si>
  <si>
    <t xml:space="preserve">eu-geneva</t>
  </si>
  <si>
    <t xml:space="preserve">schema_reinterpretation</t>
  </si>
  <si>
    <t xml:space="preserve">Capital's notes define 600,000t as the residual pool only, with an 800,000t UK tranche additional to it (~1.4m total architecture); the schema requires tranche&lt;=pool, so the seat tabled the combined 1,400,000t total_pool_tonnes to satisfy that constraint. Not freelancing, but a real mismatch between capital's terminology and the game's schema worth flagging to whoever authors capital instructions.</t>
  </si>
  <si>
    <t xml:space="preserve">seq</t>
  </si>
  <si>
    <t xml:space="preserve">status</t>
  </si>
  <si>
    <t xml:space="preserve">uk_tranche_tonnes</t>
  </si>
  <si>
    <t xml:space="preserve">allocation</t>
  </si>
  <si>
    <t xml:space="preserve">out_of_quota_rate_pct</t>
  </si>
  <si>
    <t xml:space="preserve">duration_years</t>
  </si>
  <si>
    <t xml:space="preserve">review_clause</t>
  </si>
  <si>
    <t xml:space="preserve">other_terms</t>
  </si>
  <si>
    <t xml:space="preserve">message_chars</t>
  </si>
  <si>
    <t xml:space="preserve">opening</t>
  </si>
  <si>
    <t xml:space="preserve">licensing based on recent historical trade, quarterly openings, limited carry-over | TCA preferential treatment preserved for UK-originating steel within the UK tranche | melt-and-pour origin evidence and anti-circumvention/transhipment controls | compensation to be valued across the EU schedule; UK to identify priority lines | reciprocal stability for EU exporters under the UK's steel measure and country-specific quotas</t>
  </si>
  <si>
    <t xml:space="preserve">counter</t>
  </si>
  <si>
    <t xml:space="preserve">UK tranche set by recent-reference period with licensing, not first-come first-served | No blanket disapplication of TCA preferences for UK-originating steel; preferences preserved at least within the tranche and administration must not nullify them | Proportionate melt-and-pour and anti-circumvention rules with consultation before remedies and no retroactive duty shocks | Review at year three; extension beyond five years only by mutual agreement | Residual gap below recent UK trade to be offset by concessions on mutually identified EU schedule lines | Reciprocal stability for EU exporters under the UK steel measure only as part of an overall package | Targeted carve-outs for concentrated UK product lines where EU supply dependence is high</t>
  </si>
  <si>
    <t xml:space="preserve">Licence administration on a recent-reference basis | Year-three review examines operation and market conditions only; no automatic alteration of volumes, allocation or rates | TCA preferences preserved for UK-originating steel within the UK tranche; all preferential access counts within the tranche; no separate FTA pool | Melt-and-pour and anti-circumvention discipline as a condition of preferential treatment | Operation of FTA disapplication outside the tranche to be examined at the year-three review; no removal conceded | Explicit UK commitment not to initiate, join, encourage or coordinate any FTA or WTO dispute concerning this measure | UK to identify concrete priority compensation lines for any residual imbalance | Reciprocal predictability for EU exporters under the UK steel measure: no worsening of EU country-specific access for at least three years, transparent administration, advance consultation before changes</t>
  </si>
  <si>
    <t xml:space="preserve">Review at year three must be empowered to adjust volumes, allocation and rates in light of market conditions, not merely examine operation | TCA preferences preserved for UK-originating steel across the full UK tranche; all preferential access counts within the tranche | No blanket disapplication of FTA preferences outside the tranche — removal, not merely examination at review | Melt-and-pour and anti-circumvention based on standard certification and existing customs data; automatic or near-automatic licensing; no additional testing or registration burden | Quota-fill monitored with unused UK tranche capacity reallocated rather than lapsing | Country-specific allocations administered on a recent-reference basis | UK statement of intent to remain within Article XXVIII is conditional on continued substantive progress and does not waive FTA or WTO rights | Priority compensation lines to be discussed technically after the EU's next move on the tranche | Reciprocal predictability for EU exporters under the UK steel measure under consideration in capital; substantive response next round</t>
  </si>
  <si>
    <t xml:space="preserve">Year-three review may recommend volume/rate adjustments only on objective pre-defined triggers (import surge relative to domestic demand; capacity utilisation below agreed threshold), subject to mutual agreement, capped at +/-15% of agreed tranche volume, exercisable once; no automatic alteration | UK tranche is a locked country-specific allocation protected in legal text from dilution or reallocation under separate Turkey, Korea, India and Japan Article XXVIII processes | TCA preferences preserved for UK-originating steel within the UK tranche; all preferential access counts within the tranche; no separate FTA pool | FTA disapplication outside the tranche maintained; its operation examinable at the year-three review only | Licence administration on recent-reference basis with standard melt-and-pour certification, existing customs data, automatic licensing, monitored quota-fill and reallocation of unused tranche capacity | Signalled conditional room to move tranche toward 700,000 within 1.2M pool on delivery of firm non-dispute commitment, substantive UK-measure offer, and material UK movement off 1.8M | Conditions: explicit UK commitment not to initiate, join, encourage or coordinate any FTA/WTO dispute on this measure for the regime's duration; no worsening of EU country-specific access under UK steel measure for at least three years with transparent administration and advance consultation; UK tables indicative compensation hierarchy for technical-level engagement</t>
  </si>
  <si>
    <t xml:space="preserve">UK tranche legally locked in text: separate Article XXVIII processes with Turkey, Korea, India and Japan cannot dilute or reallocate it — welcomed; must appear in drafting | Year-three review with objective pre-defined triggers (import surge relative to domestic demand; capacity utilisation below agreed threshold) capable of recommending adjustments to volumes and rates — architecture accepted in principle; trigger definitions, the 15% cap and single-use limitation subject to further discussion | TCA preferences preserved for UK-originating steel across the full UK tranche, preferential access counting within the tranche | UK offer: no worsening of EU country-specific access under the UK steel measure for three years, transparent administration, advance consultation before changes — tabled in response to EU tranche movement and as part of the package | Indicative, explicitly non-binding compensation hierarchy tabled for technical-level development: certain aluminium lines, certain chemical and fertiliser lines, certain agri-food lines, certain machinery lines — conditional on final tranche and rate | Dispute restraint counter-offer: UK will not initiate or join a dispute concerning this measure while it operates as agreed, as part of the final package and contingent on mutual performance; 'encourage or coordinate' formulation rejected | Melt-and-pour and anti-circumvention disciplines acceptable only on standard certification and existing customs data, automatic or near-automatic licensing, monitored quota-fill with reallocation of unused tranche capacity | FTA disapplication outside the tranche must fall within the scope of the year-three review with a presumption of remedy | UK signals flexibility on total pool size if the UK tranche reaches a defensible level, given the legal lock</t>
  </si>
  <si>
    <t xml:space="preserve">FINAL PACKAGE — integrated, no further rounds | Conditional closing upgrade: UK tranche rises to 800,000 tonnes with pool held at 1,000,000 (~80% locked UK share) only upon same-round UK acceptance of the full package (35% rate, restraint commitment, steel-measure standstill) | UK tranche locked in legal text: no dilution or reallocation by separate Turkey/Korea/India/Japan Article XXVIII processes | Licence administration on recent-reference basis; melt-and-pour and anti-circumvention via standard certification, automatic licensing, monitored quota-fill, reallocation of unused capacity | Year-three review may recommend volume/rate adjustments on objective pre-defined triggers (import surge relative to domestic demand; capacity utilisation below agreed threshold), subject to mutual agreement, single exercise; cap raised from 15% to 20% with review of the cap at year five — traded specifically for UK acceptance of 35% rate | TCA preferences preserved for UK-originating steel within the UK tranche; all UK preferential access counts within the tranche; no separate FTA pool | FTA disapplication remains in force outside the tranche; its operation enters the year-three review with a presumption that demonstrated injury will be remedied, remedies flowing through the same trigger/mutual-agreement/cap architecture; removal not conceded | UK restraint commitment accepted in UK's formulation: UK will not initiate or join a dispute concerning this measure while it operates as agreed, contingent on mutual performance; 'encourage or coordinate' dropped | UK steel-measure standstill: no worsening of EU country-specific access for three years, transparent administration, advance consultation before changes | Technical-level engagement on UK compensation hierarchy (aluminium, chemicals/fertilisers, agri-food, machinery); no line commitments or valuations; all subject to Trade Policy Committee consultation</t>
  </si>
  <si>
    <t xml:space="preserve">UK tranche locked in legal text against dilution or reallocation by the EU's separate Article XXVIII processes with Turkey, Korea, India and Japan | Licence-administered on a recent-reference basis; automatic or near-automatic licensing; quota-fill monitored with unused tranche capacity reallocated | TCA preferences for UK-originating steel preserved across the full UK tranche; all preferential access counting within the tranche | Year-three review able to adjust volumes and rates on objective pre-defined triggers: import surge relative to the three-year reference average, and capacity utilisation threshold set so current depressed market conditions can qualify; cap of +/-20%; adjustments by mutual agreement | FTA disapplication outside the tranche within scope of the year-three review with a presumption of remedy for demonstrated injury to UK-originating trade | Melt-and-pour and anti-circumvention disciplines based on standard certification and existing customs data only - verification, not volume restriction | Compensation schedule developed at technical level with concrete valuations across aluminium, chemicals and fertilisers, agri-food and machinery lines, with priority to industrial goods lines of UK export interest | UK restraint commitment as drafted: the UK will not initiate or join a dispute concerning this measure while it operates as agreed, contingent on mutual performance | UK steel measure: no worsening of EU country-specific access for three years, transparent administration, advance consultation before changes</t>
  </si>
  <si>
    <t xml:space="preserve">UK tranche administered by licensing rather than first-come first-served | Open to product-line carve-outs within the 41 tariff lines | Open to compensation concessions on other lines in the EU schedule | Review clause timing and scope to be designed jointly</t>
  </si>
  <si>
    <t xml:space="preserve">Licence-based administration of the TRQ (accepted as basis) | Removal of the provision disapplying FTA tariff reductions for UK-origin steel | Product-line carve-outs to be defined using UK product-level trade data, focused on specialised low-volume lines | Linkage to treatment of EU exporters under the UK's own steel measure, preserving their country-specific quota allocations</t>
  </si>
  <si>
    <t xml:space="preserve">Licence-based administration (agreed architecture) | Joint technical exercise on product-level data to identify specialised low-volume UK lines for carve-out, additional to and not counted against the UK tranche | FTA disapplication question reserved for endgame discussion within the overall package | Further EU volume movement expressly conditioned on UK movement on the out-of-quota rate and binding reciprocal certainty for EU exporters under the UK steel measure at or above current country-specific allocation levels</t>
  </si>
  <si>
    <t xml:space="preserve">Removal of the FTA disapplication provision as it applies to the UK — stated as a package-critical requirement, not a negotiating chip | Product-level trade data tabled; joint technical exercise on carve-outs to begin immediately, with agreed specialised low-volume lines treated as additional access outside the tranche | Review clause to include scope for upward expansion of the tranche on defined triggers | Exploratory (non-binding) discussion invited on treatment of EU exporters under the UK steel measure, contingent on substantial further EU movement on tranche volume | Request for concrete EU proposals on compensation elsewhere in the EU schedule</t>
  </si>
  <si>
    <t xml:space="preserve">Volume offer conditional on UK moving off 25% toward low 30s on out-of-quota rate AND a concrete binding UK offer of reciprocal certainty for EU exporters under the UK steel measure at or above current country-specific allocation levels; partial UK movement shades the tranche between 500,000t and 550,000t | Review clause design principles confirmed: year-three trigger, scoped to volume and allocation, with explicit provision that review can expand both tranche and pool based on market conditions and trade flows | Indicative compensation basket sketched (industrial goods lines of UK export interest, additional to package); concrete offer held in reserve for Round 4 | FTA disapplication provision: resolution of its application to the UK available in the final round within a complete package delivering a UK tranche at or below 700,000t, out-of-quota rate at or above 30%, and binding reciprocal certainty; form (removal for UK-origin steel to preferential administration) follows the balance | Landing zone on out-of-quota rate of 30-35% indicated, available once UK moves off 25% | Carve-outs for specialised low-volume UK lines to be additional to the tranche, verified against UK data, first agreed lines to be announced in Round 4</t>
  </si>
  <si>
    <t xml:space="preserve">Conditional rate signal: willingness to discuss 30-35% out-of-quota rate as part of final package, expressly tied to (a) substantial further EU tranche movement and (b) a drafting principle recorded this session that the FTA disapplication provision will not apply to UK-origin steel; signal withdrawn if either condition fails | Review clause proposal tabled: reviews at midpoint and end of year three, triggers of EU import volumes from all sources, capacity utilisation and market disruption indicators, with express provision that review may expand the UK tranche and pool and lower the out-of-quota rate | Formal written offer on schedule compensation basket required before the final round | Reciprocal certainty under UK steel measure: shape described (preservation of existing EU country-specific allocations, guaranteed for the duration, modest enhancement possible); no binding offer until EU tranche offer exceeds 1 million tonnes | Provisional agreed carve-out list by next round, with agreed lines sitting outside the tranche as additional access</t>
  </si>
  <si>
    <t xml:space="preserve">FTA disapplication provision will not apply to UK-origin steel — drafting principle recorded, conditional on conclusion of the complete package; legal form follows the final balance | Review clause agreed: reviews at midpoint and end of year three; defined triggers (EU import volumes, capacity utilisation, market disruption); review may expand tranche and pool; rate-lowering on review only on defined triggers, subject to Council decision, never automatic, floored at 25%; proposed 20% per-review expansion cap (concedable) | Agreed carve-out list announced and banked: specialised low-volume UK product lines receive access outside the tranche, additional to it | Compensation basket tabled formally in writing: industrial goods lines of demonstrated UK export interest, additional to the package | UK to provide binding written commitments preserving EU country-specific allocations under the UK steel measure for the full duration, with modest enhancement | Movement ladder held in reserve: tranche up to 750,000t against rate of 33%+ and written binding certainty; last-resort 800,000t only against 35% and quantified enhanced certainty — not disclosed | Package is indivisible: nothing agreed until everything agreed</t>
  </si>
  <si>
    <t xml:space="preserve">Review clause as agreed: midpoint and end-of-year-three reviews, defined triggers (import volumes, capacity utilisation, market disruption), express power to expand tranche and pool, expansion capped at 25% of tranche per review; downward rate adjustment trigger-based, by Council decision, never automatic, floored at 25% | Banked carve-out list annexed with quantified tonnage schedule, access outside the tranche, lifting guaranteed effective access toward 1.4mt | FTA drafting principle recorded this session and converted to operative text: substantive non-application of the disapplication provision to UK-origin steel, legally identical to removal | Compensation basket as tabled in writing by the EU, additional to all other elements | UK binding written commitment: preservation of EU exporters' existing country-specific allocations under the UK steel measure for the full duration; enhancement up to 10% conditional on package delivering effective access of 1.4mt; no product-scope expansion; condition subsequent voiding on any application of the FTA disapplication to UK-origin steel</t>
  </si>
  <si>
    <t xml:space="preserve">UK tranche administered by import licensing to guarantee the allocation | Open to product-line carve-outs on lines of concentrated UK interest | Open to compensation on other lines in the EU schedule | Willing to discuss interaction with the EU-UK TCA as part of the package</t>
  </si>
  <si>
    <t xml:space="preserve">UK tranche administered by import licensing with guaranteed utilisation | TCA tariff preferences for UK-origin steel preserved; FTA disapplication clause removed from the package | Product-line carve-outs for UK-concentrated lines (plate and wire rod priorities) | Compensation on other EU schedule lines to be quantified for residual gap between tranche and historical trade | Review clause tied to measurable global overcapacity indicators | Anti-circumvention provisions mutually agreed, not unilateral</t>
  </si>
  <si>
    <t xml:space="preserve">UK tranche administered by import licensing with the UK share protected in full | Narrow product-line carve-outs only where EU downstream dependence on UK supply is documented and agreed with member states | Modest compensation on other EU schedule lines open for discussion | EU prepared to address treatment of UK-origin steel under the TCA in the implementing legislation, informed by a constructive Article XXVIII outcome, while keeping that issue formally separate from this negotiation | EU tranche offer conditional on the UK maintaining EU exporters' existing country-specific quota allocations under the UK steel measure with no deterioration for the duration of the EU regime | Further EU movement only as part of a final package, conditional on UK acceptance of the 50% out-of-quota bound rate and UK disengagement from coordinated dispute action on the FTA element</t>
  </si>
  <si>
    <t xml:space="preserve">Review clause tied to overcapacity and market conditions, with a genuine possibility of early liberalisation, not a bare calendar date | Prioritised carve-out list tabled: hot-rolled coil and plate lines where UK exports are concentrated and EU downstream users are import-dependent | Request that the EU table specific compensation tariff lines for assessment against the remaining volume gap | UK position on disapplication of TCA preferences to be reserved explicitly and in writing if that element persists in any agreed record | Licensing administration to be specified in the legal text with the UK tranche guaranteed in full</t>
  </si>
  <si>
    <t xml:space="preserve">UK tranche administered by import licensing and protected in full | Package conditioned on: (a) UK acceptance of 50% as the out-of-quota bound rate; (b) recorded UK statement of parallel intent that EU exporters' existing country-specific quota allocations under the UK steel measure will not deteriorate for the duration of the regime; (c) written confirmation the UK will not join coordinated dispute action on the FTA element | EU prepared to examine applied treatment on prioritised carve-out lines (hot-rolled coil, plate) within the bound ceiling, against documented EU downstream dependence, once the bound rate is accepted | Agreed record to include tightly-drafted UK reservation of rights on the TCA disapplication element, without prejudice to the provision itself; drafting to be exchanged before Round 4 | Specific compensation lines tabled from the member-state-agreed list, presented as the envelope | Review clause design open for negotiation, including conditions it responds to</t>
  </si>
  <si>
    <t xml:space="preserve">Staged UK tranche: initial annual volume rising by defined steps to 1.2 million tonnes over the first three years of the regime, licensed and protected in full throughout | Automatic expansion mechanism: unused tonnage in the residual global pool reverts proportionally to licensed country-specific tranches where the pool is materially underused or UK-origin imports are shown not to be displacing EU production | Review clause tied to overcapacity indicators with a genuine early-liberalisation pathway, not a calendar date | Priority carve-outs for hot-rolled coil and plate, with the EU to table concrete applied rates below the bound ceiling on those lines | TCA reservation language to be exchanged this week recording that the UK does not endorse disapplication of TCA preferences and reserves its rights | Compensation on other EU schedule lines to be assessed as additional to adequate steel access, not a substitute | Recorded statement of intent on UK safeguard allocations remains available but only as part of a final package at an adequate UK tranche level | No written confirmation on abstaining from coordinated dispute action; UK preference for bilateral conclusion stated on the record</t>
  </si>
  <si>
    <t xml:space="preserve">UK tranche staged: 650,000 tonnes year one, rising by defined annual steps fixed in the text to 750,000 tonnes by year three; licensed and protected in full | Reversion mechanism: where residual pool utilisation falls below an agreed threshold at a defined mid-year checkpoint, demonstrably unused tonnage reverts proportionally to licensed country-specific tranches; total UK access in any year capped within the 1,100,000-tonne pool; reversion never exceeds demonstrated unused tonnage | Applied out-of-quota rate of 25% on hot-rolled coil and plate for in-tranche UK volumes only, against documented EU downstream dependence, with snapback review for diversion — conditional on UK written acceptance of 50% as the bound rate | Conditions-based review clause tied to overcapacity indicators with early-liberalisation pathway; all volume ceilings fixed in the text; review cannot raise volumes | TCA reservation language recording that the UK does not endorse disapplication of TCA preferences and reserves its rights, without prejudice to the provision itself — final wording to be agreed in the room within the cleared frame | Compensation on other EU schedule lines as per the specific list tabled in Round 3 — fixed envelope, no expansion | Package conditions: (a) UK written acceptance of 50% bound out-of-quota rate; (b) recorded UK statement of parallel intent that EU exporters' existing country-specific quota allocations under the UK steel measure will not deteriorate for the duration of the regime; (c) UK on-record statement that it has not joined and prefers not to join coordinated dispute action on the FTA element, recorded in the agreed minutes | Package tabled as a single indivisible whole for joint referral to both capitals</t>
  </si>
  <si>
    <t xml:space="preserve">UK tranche staged with binding steps fixed in the text: 650,000t year one, 725,000t year two, 800,000t year three, licensed and protected in full | Reversion mechanism in binding form: automatic operation once the agreed underuse threshold is met at the mid-year checkpoint, UK proportional share of licensed tranches fixed in the text, no discretionary elements | 50% bound out-of-quota rate acceptable only against applied rate of 25% on UK out-of-quota volumes of hot-rolled coil and plate, committed for the full duration of the regime; snapback triggered solely by objectively demonstrated diversion established through a defined consultation procedure | Review clause tied to overcapacity indicators with a genuine early-liberalisation pathway capable of real consequences: upward volume adjustment by joint decision or early termination of the measure | TCA reservation per the UK draft text: UK non-endorsement of disapplication, reservation of rights, nothing pre-judging UK rights under the TCA | Recorded in the agreed minutes: 'the UK is not a party to any coordinated initiative and intends to pursue its interests through this bilateral process' | Recorded statement of parallel intent on EU exporters' existing allocations under the UK safeguard available as the final piece of a completed package — framed as reciprocal good faith, same duration, never as payment | Compensation envelope under line-by-line assessment in London; UK position reserved; compensation is additional to adequate steel access, not a substitute</t>
  </si>
  <si>
    <t xml:space="preserve">Licence-based administration using representative historical trade, with quarterly release windows and a 10% newcomer reserve | UK tranche inside the total pool, not additional to it; utilization and reallocation rules to be agreed | Possible carve-outs for narrow high-value or low-volume product lines after exchange of HS8 data | Melt-and-pour certification, anti-circumvention cooperation and no transhipment through third countries to access the UK tranche | Compensation on other EU schedule lines to be scoped after the steel TRQ architecture is fixed | FTA/TCA interaction language to be discussed separately with a view to avoiding cross-retaliation or a joint FTA dispute | Sequencing: data and methodology first, quota/administration second, compensation and legal drafting third</t>
  </si>
  <si>
    <t xml:space="preserve">Withdrawal of the FTA-disapplication provision for UK-originating steel; TCA preferences to apply within and alongside the quota | Quarterly licence windows with rollover of unused allocations between quarters | Product carve-outs for hot-rolled coil and other inputs to UK-EU downstream processing supply chains | Melt-and-pour enforcement provisions | Review at 18 months with adjustment to tranche sizes based on actual trade flows | Compensation on other EU schedule lines to be scoped once steel architecture agreed | Parallel discussion of EU exporter treatment under the UK steel measure</t>
  </si>
  <si>
    <t xml:space="preserve">Quarterly licensing windows accepted in principle | Rollover of unused quarterly allocations accepted in principle | Newcomer reserve accepted in principle | Melt-and-pour enforcement accepted in principle | Carve-out for hot-rolled coil feeding downstream processing accepted in principle | Review clause to operate on defined criteria (import penetration, capacity utilisation, global overcapacity indicators) — no automatic adjustment presumption | FTA-disapplication drafting to be addressed as part of a complete final package, not withdrawn unilaterally | Link to UK steel measure: preservation of existing EU country-specific quota allocations plus consultation commitment before any tightening, as part of overall balance | Conditional scope to revisit pool and tranche volumes if UK moves off 2.4Mt and 10% out-of-quota</t>
  </si>
  <si>
    <t xml:space="preserve">Quarterly licensing windows, rollover of unused quarterly allocations, newcomer reserve, melt-and-pour enforcement, and HRC downstream-processing carve-outs agreed in principle as the technical chassis | Review clause to include binding adjustment mechanism with defined triggers tied to quota utilisation and trade flows, alongside EU criteria (import penetration, capacity utilisation, overcapacity indicators) | FTA disapplication text must be withdrawn as a condition of conclusion; UK invites EU to state what it would need in return | Compensation on other EU schedule lines to be scoped in parallel from this round, with indicative lists exchanged before round 3 | In-principle availability of preserved EU country-specific allocations and pre-tightening consultation under the UK steel measure, conditional on conclusion of the full package and not bankable separately</t>
  </si>
  <si>
    <t xml:space="preserve">Binding review with obligation to adjust when objective, quantified, symmetric triggers are met, within pre-agreed bands, combined with import-penetration, capacity-utilisation and overcapacity criteria | Conditional offer: withdrawal of FTA-disapplication provision for UK-originating steel, contingent on out-of-quota rate &gt;=20%, UK tranche within tabled range, and written UK commitments on preservation of EU country-specific quota allocations under the UK measure plus consultation before tightening | Technical chassis agreed in principle: quarterly licensing windows, rollover of unused quarterly allocations, newcomer reserve, melt-and-pour enforcement, HRC carve-outs for downstream processing | Indicative compensation lists exchanged in parallel; nothing banked until steel architecture agreed | UK asked to put shape of commitments on its own steel measure on paper this round | Nothing agreed until everything agreed</t>
  </si>
  <si>
    <t xml:space="preserve">Duration and review closed: five years, binding symmetric adjustment mechanism with quantified triggers (utilisation, trade flows) alongside EU criteria (import penetration, capacity utilisation, overcapacity indicators), within pre-agreed bands | Technical chassis agreed in principle: quarterly licensing windows, rollover of unused quarterly allocations, newcomer reserve, melt-and-pour enforcement, HRC carve-outs for downstream processing | Package strictly contingent on withdrawal of FTA-disapplication provision as it applies to UK-originating steel in the concluded text | UK written commitments available within concluded package: preservation of existing EU country-specific quota allocations under UK steel measure, plus consultation before any tightening (shape, not tonnage; not bankable separately) | Compensation scoping on other EU schedule lines proceeding in parallel; nothing banked until steel architecture agreed | Entire offer contingent and withdrawable: nothing is agreed until everything is agreed</t>
  </si>
  <si>
    <t xml:space="preserve">FTA-disapplication provision withdrawn for UK-originating steel in the concluded text, contingent on conclusion of the package as a whole | UK written commitments: minimum preservation period for existing EU country-specific quota allocations under the UK steel measure, plus a defined consultation procedure with timelines before any tightening | Compensation envelope: tariff reductions on selected industrial lines of low defensive exposure, confirmed this session, nothing banked until signature | Binding review: obligation to adjust volumes when objective, quantified, symmetric triggers are met, within pre-agreed bands, alongside import-penetration, capacity-utilisation and overcapacity criteria | Technical chassis as agreed: quarterly licensing windows, rollover of unused allocations, newcomer reserve, melt-and-pour enforcement, HRC carve-outs for downstream processing | Nothing is agreed until everything is agreed</t>
  </si>
  <si>
    <t xml:space="preserve">Complete withdrawal of the FTA-disapplication provision as it applies to UK-originating steel in the concluded text — as confirmed by the EU this round | Country-specific allocation by licence: quarterly windows, rollover of unused quarterly allocations, newcomer reserve, melt-and-pour enforcement — agreed in principle and banked | Product carve-outs for hot-rolled coil feeding downstream processing — banked | Five-year duration with hybrid binding review: objective, quantified, symmetric triggers within pre-agreed bands, obligation to adjust volumes when triggers are met, import penetration and capacity utilisation indicators alongside utilisation and trade-flow triggers — closed subject to drafting | Written UK commitments: preservation of existing EU country-specific quota allocations under the UK steel measure, with a minimum preservation period and a defined consultation procedure with timelines before any tightening — contingent on conclusion, coordinated with the UK's own Article XXVIII process | Compensation envelope on EU industrial tariff lines to be named line-by-line in this session and retained in the concluded package as part of Article XXVIII equivalence | Package tabled as non-extendable and available only for immediate conclusion this session</t>
  </si>
  <si>
    <t xml:space="preserve">global</t>
  </si>
  <si>
    <t xml:space="preserve">41 tariff lines: hot-rolled coil, plate, rebar and wire rod as notified | zero-duty access only within the global TRQ; above-quota imports dutiable at the modified bound rate | FTA tariff reductions disapplied for non-EEA partners, including UK-originating steel, consistent with the notified legal text | EEA treatment remains outside this proposal | compensation to be discussed on other EU schedule lines on the basis of substantially equivalent value and verified trade data | administration, licensing, enforcement and anti-circumvention provisions may be discussed without prejudice to the notified architecture | EU seeks conclusion in time for the June Council timetable</t>
  </si>
  <si>
    <t xml:space="preserve">In-quota duty remains zero and quotas are administered by licensing with quarterly sub-periods, carryover of unused quarterly volume, and no first-come first-served erosion. | UK tranche based on average 2023-2025 exports by tariff line, with line-level carve-outs where EU evidence does not show UK contribution to injurious overcapacity. | No legal text disapplying EU-UK TCA or other FTA tariff reductions for UK-originating steel; Article XXVIII compensation is additional to, not subtracted from, FTA treatment. | Anti-circumvention and enforcement based on objective melt-and-pour/origin evidence, consultation before measures, and no UK-specific presumptions. | If final UK zero-duty access falls below the representative-period level, automatic compensation through tariff reductions on other EU schedule lines of substantially equivalent value. | Parallel understanding on stable, country-specific treatment of EU exporters under the UK steel measure, without prejudice to the UK's separate Article XXVIII process.</t>
  </si>
  <si>
    <t xml:space="preserve">No EU movement on total volume, UK-specific tranche, out-of-quota rate, duration, review clause, carve-outs or FTA/TCA treatment this round. | Prepared to discuss licensing-based administration within a global pool as an alternative to first-come first-served, using objective criteria and a representative reference period; no commitment. | Prepared to negotiate robust melt-and-pour enforcement and anti-circumvention provisions applied even-handedly. | UK to provide line-by-line trade data, justification for any product carve-outs, and specific compensation requests on other EU lines before further EU movement. | Probe, without commitment, what the UK would trade for any change in FTA/TCA treatment and what it means by predictable treatment of EU exporters under the UK steel measure, including continuation of EU country-specific quota allocations at current volumes and duration.</t>
  </si>
  <si>
    <t xml:space="preserve">UK tranche administered by import licensing against a representative recent reference period, not first-come first-served | Product-line carve-outs where overcapacity evidence does not justify inclusion, beginning with plate | Full withdrawal of the proposed disapplication of EU-UK TCA and other FTA tariff reductions | Melt-and-pour enforcement and anti-circumvention provisions applied even-handedly to all origins | Compensation on other lines in the EU schedule for any residual gap against the substantially-equivalent test | Parallel, conditional discussion of continued country-specific allocations for EU exporters under the UK steel measure - no figures tabled</t>
  </si>
  <si>
    <t xml:space="preserve">Licensing-based administration against a representative recent reference period, replacing first-come first-served | Country-specific reserves for principal supplying interests only — not a general FTA pool | Melt-and-pour enforcement and anti-circumvention provisions applied even-handedly | Technical evidence-based review of plate lines for possible narrow carve-outs | Withdrawal of FTA/TCA disapplication conceivable only as part of a final package delivering: quantified continuation of EU country-specific allocations under the UK steel measure at current volumes for the same duration; UK confirmation it will not join coordinated FTA countermeasures or withdraw concessions if the package is accepted | Substantial equivalence assessed on the whole final package, including residual TRQ access, administration, compensation elsewhere in the schedule, duration/review and parallel treatment | UK to provide remaining line-by-line data, specific other-line compensation requests, and concrete parallel-track figures before Round 4</t>
  </si>
  <si>
    <t xml:space="preserve">Licensed administration against most recent representative three-year reference period taken as agreed in principle and closed as a topic | Country-specific UK tranche within the total pool | Compensation on other EU lines (motor vehicles and components, chemicals and pharmaceuticals, processed agrifood), quantified against the residual access gap and additive to, not substitutive of, the tranche | Full withdrawal of the TCA/FTA disapplication provision - not priced against a below-representative UK reserve | Technical carve-out review for plate lines, building on data supplied | Even-handed melt-and-pour enforcement and anti-circumvention provisions | Parallel-track offer in shape only: continuation of EU country-specific allocations under the UK steel measure, duration and review to be agreed, tonnage figures strictly conditional on a credible licensed UK tranche and full TCA withdrawal | No UK pre-commitment to forswear Article XXVIII rights; a substantially equivalent package removes the premise for withdrawal of concessions</t>
  </si>
  <si>
    <t xml:space="preserve">Licensed administration against the most recent representative three-year reference period | Country-specific reserves for principal supplying interests only; no general FTA pool | Narrow evidence-based carve-outs on plate lines supported by UK data | Withdrawal of the FTA/TCA disapplication provision as part of the whole package, folded into substantial equivalence | Narrow technical compensation on selected chemicals and pharmaceuticals lines only; nothing on motor vehicles or processed agrifood | Even-handed melt-and-pour enforcement and anti-circumvention provisions | Condition: quantified continuation of EU country-specific allocations under the UK steel measure at current volumes for five years, equivalent review treatment, and a restoration-or-compensation mechanism if the UK amends its measure | Condition: UK confirmation that acceptance fully and finally settles this modification - no withdrawal of concessions, no countermeasures, no participation in coordinated FTA-partner actions in respect of it | Package available this round only; single indivisible whole</t>
  </si>
  <si>
    <t xml:space="preserve">Licensed administration against most recent representative three-year reference period - banked and closed | Full and unconditional withdrawal of the FTA/TCA disapplication provision within the package; not priced against the reserve level | Evidence-based carve-outs on plate lines confirmed | Even-handed melt-and-pour enforcement and anti-circumvention | Compensation list (motor vehicles and components, chemicals and pharmaceuticals, processed agrifood) retained as additive to the tranche | Safeguard element: continuation of EU country-specific allocations under the UK steel measure at current volumes, matching duration, symmetric review, restoration-or-compensation mechanism - strictly conditional and concurrent, inoperative unless the whole package lands | Settlement confirmation limited to the substantially-equivalent formulation: reserved Article XXVIII rights fall away because the package is substantially equivalent; no priced renunciation of WTO rights | Indivisible final offer, expiring at close of round</t>
  </si>
  <si>
    <t xml:space="preserve">FTA tariff preferences disapplied for all non-EEA FTA partners, including the UK | Open to discussing quota administration (licensing vs first-come first-served) | Open to discussing product-line-specific treatment and compensation on other lines in the EU schedule | Open to discussing duration and review</t>
  </si>
  <si>
    <t xml:space="preserve">Quota administered by licensing, not first-come first-served | No disapplication of FTA/TCA preferential rates for UK-origin steel | Carve-outs from the modification for product lines where UK supply is critical to EU downstream users | Compensation on other lines in the EU schedule in addition to quota terms | Linkage to treatment of EU exporters under the UK steel measure to be addressed as part of overall settlement</t>
  </si>
  <si>
    <t xml:space="preserve">Quota administered by licensing rather than first-come first-served | Openness to a defined duration with a review point as part of a complete package | Compensation on other EU schedule lines to be tabled in Round 3 | FTA disapplication restated as integral and uniform for non-EEA partners | UK invited to specify concrete reciprocal treatment for EU exporters under the UK steel measure</t>
  </si>
  <si>
    <t xml:space="preserve">Licensing administration of the quota (registering the EU's movement from first-come first-served) | Compensation on other EU schedule lines — first UK indicative list tabled (automotive components, chemicals, agrifood) — additive to quota volume, never a substitute for it | FTA disapplication provision severed from the measure; UK legal position on TCA obligations unchanged | Product carve-outs reserved for discussion only where they protect lines produced by surviving UK plants | Treatment of EU exporters under the UK steel measure discussable only as part of an overall settlement; no volumes or coverage tabled at this stage</t>
  </si>
  <si>
    <t xml:space="preserve">Licensing administration (conceded Round 2) — EU proposes both sides exchange valuations of their respective compensation lists before Round 4 | EU compensation list tabled: selected automotive component, chemicals and agrifood lines, additive to quota outcome, not substitutive | Ad referendum signal, no volume attached: a country-specific allocation is not excluded within a complete and reciprocal package reflecting EU-UK market integration under the TCA — expressly conditional on concrete UK specificity (volumes, product coverage, duration, administration) on EU exporter access under the UK steel measure | Duration 8-10 years with mid-term review; UK's 4-year proposal rejected as too short | UK 25% out-of-quota rate demand rejected as outside any operable zone | FTA disapplication provision restated as integral and uniform; not open for discussion at the table</t>
  </si>
  <si>
    <t xml:space="preserve">Licensing administration (as conceded by EU) | Compensation on other EU schedule lines, additive to quota volume, valued on three-year average trade flows at current unit values | Reciprocal security of country-specific access in both markets accepted in principle as settlement frame | Conditional offer: duration-matched guarantee of EU country-specific allocations under the UK steel measure, with improved allocations of the order of several hundred thousand tonnes on agreed lines, gated on a concrete EU tranche figure bearing a serious relationship to actual trade and an out-of-quota rate at or below 25% | Total pool size conceded as secondary if a ring-fenced UK tranche at serious volume is agreed | Product carve-outs welcome where they fully exclude lines produced by surviving UK plants; specific lists referred to capital | FTA disapplication objection reserved on the record; treatment shaped by overall package | Duration signalled as flexible within a package that delivers on volume and rate | Procedural proposal for Round 4: simultaneous exchange of EU tranche figure/rate/duration against precise UK safeguard volumes/coverage/administration</t>
  </si>
  <si>
    <t xml:space="preserve">Architecture: 800,000t ring-fenced UK country-specific tranche at zero duty, plus 600,000t global residual pool for all other origins (total circa 1.4mt) | UK tranche framed expressly as reflecting EU-UK market integration under the TCA — framing integral to the offer | Licensing administration throughout (no first-come first-served) | Mid-term review within the 8-year duration | Compensation list as tabled (automotive components, chemicals, agrifood), additive, valued on shared method of three-year average trade flows at current unit values | Openness to full carve-out of limited sub-lines where UK production concentrated (plate and rebar sub-lines indicated), to be shaped within the session | CONDITION 1: simultaneous tabling of precise guaranteed EU country-specific allocations under the UK steel measure — volumes, coverage, administration — matched to full duration; tranche scales down proportionately if reciprocal volumes disappoint | CONDITION 2: explicit UK commitment to disengage from any coordinated FTA dispute action with Japan and Korea in relation to this measure | FTA preference disapplication provision position unchanged</t>
  </si>
  <si>
    <t xml:space="preserve">UK tranche ring-fenced and licensing-administered; residual global pool of 600,000 tonnes not contested | Full exclusion (zero bound restored) of plate and rebar sub-lines produced by surviving UK plants, credited tonne-for-tonne at three-year average export volumes as effective access additional to the tranche | Binding mid-term review no later than year 4 | Reciprocal: duration-matched guarantee of existing EU country-specific allocations under the UK steel measure plus improvements of up to 200,000 tonnes on agreed lines, rising toward 300,000 tonnes if effective access reaches 1.6-1.8 million tonnes; administration mirrored (licensing, duration-matched) | Compensation lists on other schedule lines valued on three-year average trade flows at current unit values, additive to quota volume, never a substitute | No commitment on dispute action with other members can be given at the table; a satisfactory overall package shapes UK consideration of adjacent matters | FTA preference provision: UK legal objection remains on the record</t>
  </si>
  <si>
    <t xml:space="preserve">Notified FTA preference disapplication remains part of the package, but its application to UK-origin steel is explicitly open to negotiation within this process | All design parameters (volume, allocation, administration, duration, review, product coverage) stated as open for discussion | Compensation on other lines in the EU schedule available for discussion | Proposal to address the EU and UK steel measures in parallel, with reciprocal treatment of exporters as an organising principle</t>
  </si>
  <si>
    <t xml:space="preserve">Withdrawal of the proposed disapplication of FTA/TCA tariff reductions for UK-originating steel | Licensed administration with quarterly release and carryover of unused tranche tonnage | Carve-out of tariff lines where UK is the dominant supplier and EU domestic production is minimal, list to be tabled | Compensation on other lines in the EU schedule to be registered, pending the EU's response on volume and allocation | Reciprocal predictability for EU exporters under the UK steel measure to be addressed in parallel, contingent on overall balance</t>
  </si>
  <si>
    <t xml:space="preserve">Administration by import licensing with quarterly release | Carryover of unused quarterly tonnage, capped at one quarter | Mandatory mid-term review (year 3) covering volumes, allocation and out-of-quota rate | EU prepared to revisit scope of FTA-disapplication clause as part of overall settlement, including preserving TCA preference operation within the UK tranche — movement conditional on UK movement on volume/rate | Informal parallel discussion of UK safeguard measure: EU expects preservation of EU country-specific allocations at current volumes, no shift to global FCFS | UK invited to table product carve-out list for examination; no commitments made | UK tranche sized with regard to other members' Article XXVIII reservations (Turkey, Korea, India, Japan)</t>
  </si>
  <si>
    <t xml:space="preserve">Import licensing with quarterly release and carryover of unused tonnage (one-quarter cap workable) | Withdrawal — not narrowing — of the clause disapplying FTA tariff reductions for UK-originating steel; UK reserves all TCA rights | Carve-out list of lines where UK supply is dominant and EU domestic production minimal to be tabled this week | In-principle, non-quantified linkage: preservation of EU country-specific allocations under the UK steel measure contingent on UK tranche near representative volumes and withdrawal of FTA disapplication | Openness to a longer duration only if the review clause carries a defined obligation to recalibrate volumes against actual trade</t>
  </si>
  <si>
    <t xml:space="preserve">Licensing administration with quarterly release | Carryover of unused tonnage capped at one quarter | Binding mid-term review with defined obligation to recalibrate quota volumes against trade-flow and overcapacity data, presumption of adjustment, symmetric design, no automatic tonnage entitlements | Full withdrawal of FTA-disapplication clause available as part of package, conditional on tranche ≤1.2Mt, OQR ≥25%, and locked-in safeguard understanding | Mutual understanding (exchange of letters) preserving EU country-specific allocations under UK steel measure at current volumes, no shift to FCFS | UK carve-out list to be examined as endgame element</t>
  </si>
  <si>
    <t xml:space="preserve">Binding mid-term review recalibrating quota volumes, allocation and out-of-quota rate against actual trade flows and overcapacity data, symmetric in design with presumption of adjustment | Import licensing with quarterly release; carryover of unused tonnage capped at one quarter | Full withdrawal of the FTA disapplication clause as a required element of any settlement | UK carve-out list tabled with representative-period trade data; treatment as core endgame element | In-principle confirmation of preservation of existing EU country-specific allocations under the UK safeguard measure, matching duration and review, contingent on withdrawal of the clause and a UK tranche approaching representative-period volumes | Conditional signal: London could engage on the volume figure within a package including clause withdrawal, out-of-quota rate meaningfully below 30%, and progress on carve-outs</t>
  </si>
  <si>
    <t xml:space="preserve">Final, indivisible package: all elements conditional on acceptance of the whole this round | Full withdrawal of FTA-disapplication clause, extended to all FTA partners (EEA excepted as notified) | Carve-outs accepted for lines where UK supply dominant and EU production minimal/nil, capped at 250,000t representative-period trade; overflow lines receive guaranteed residual-pool shares | Import licensing administration with quarterly release; carryover of unused tonnage capped at one quarter | Binding mid-term recalibration against actual trade flows and overcapacity data, symmetric, presumption of adjustment, no automatic tonnage entitlements | Exchange of letters: preservation of EU country-specific allocations under UK steel measure at current volumes, matching five-year duration and review, no shift to FCFS | One to two pre-cleared compensation lines elsewhere in EU schedule available if needed to close | Reserve headroom (tranche to 1.4Mt, OQR to 22%) held for closing concessions against UK acceptance only</t>
  </si>
  <si>
    <t xml:space="preserve">Binding criteria-based mid-term recalibration against actual trade flows and overcapacity data, symmetric with presumption of adjustment, as described by the EU in Round 3 | Full withdrawal of the FTA disapplication clause, extended to all FTA partners, as tabled by the EU | Carve-outs per the UK list at or above the EU's 250,000-tonne cap, reverting to zero duty outside the quota, with qualifying lines beyond the cap receiving guaranteed residual pool shares | EU's reserved compensation lines elsewhere in its schedule to be tabled and added to the package this round, per the EU's own offer against a residual gap in substantially equivalent value | Import licensing administration with quarterly release and carryover capped at one quarter | Exchange of letters preserving EU country-specific allocations under the UK steel measure at current volumes, matching duration and review, to be signed simultaneously with conclusion of the main package | UK reserves all Article XXVIII rights pending London's decision on the final terms</t>
  </si>
  <si>
    <t xml:space="preserve">First-come, first-served administration | Non-EEA FTA preference disapplication remains part of the EU's notified opening text | Product coverage as notified across the 41 tariff lines | Compensation, enforcement and TCA interface open for discussion | No partial agreement before an overall package is settled</t>
  </si>
  <si>
    <t xml:space="preserve">Quota administered by import licensing, not first-come first-served | Removal of legal text disapplying non-EEA FTA preferences, including TCA preferences for UK-originating steel | Carve-outs for specific product lines where EU downstream manufacturers depend on UK supply | Treatment of EU exporters under the UK's parallel steel measure to be discussed only as part of the overall package | Enforcement and anti-circumvention provisions to be agreed mutually, covering transhipment and minor processing</t>
  </si>
  <si>
    <t xml:space="preserve">UK tranche administered by licensing for predictability of established flows | FTA disapplication drafting: EU ready to discuss TCA-consistent drafting solutions; scope of movement dependent on overall package | Conditionality: movement on volume and rate is contingent on UK commitments to preserve EU exporters' country-specific allocations under the UK parallel steel measure at current volumes | Settlement forecloses any UK withdrawal of substantially equivalent concessions against EU trade | No product line carve-outs offered at this stage</t>
  </si>
  <si>
    <t xml:space="preserve">Licensing administration of all country-specific tranches | Removal of FTA-disapplication drafting, replaced by rules-of-origin enforcement and anti-circumvention provisions | Product carve-outs for lines where EU downstream industries are dependent on UK supply | In-principle discussability of preserving EU country-specific allocations under the UK parallel measure as part of a final package — no volumes offered | Duration of five years proposed; six years discussable once volume and rate are close</t>
  </si>
  <si>
    <t xml:space="preserve">UK tranche administered by licensing, guaranteeing predictable access for established trade flows | Package is explicitly conditional: holds only against UK movement off 2.0M tranche / 15% rate toward a plausible landing zone AND concrete UK commitments to preserve EU exporters' country-specific allocations under the UK parallel steel measure at current volumes | Limited in-round room to move further on volume if the UK tables its parallel-measure commitments in specific terms this round | FTA preferences: EU ready to engage on UK-proposed swap — robust rules-of-origin enforcement and anti-circumvention provisions in place of blanket disapplication, scoped in the first instance to UK-originating steel under the TCA | Swap architecture must include: objective origin-verification standards; EU audit and inspection rights; automatic snap-back restoring disapplication or suspending preferential access on evidence of circumvention; provisions survive the review clause | Wider application of the swap to other FTA partners: listening mode only, no EU commitment | UK tranche is country-specific and guaranteed; remainder of pool is not earmarked and this settlement does not prejudge separate processes with other claimants | Round 4 fixed as endgame: settlement requires UK convergence on tranche/rate figures and parallel-measure commitments on the table at the start of Round 4</t>
  </si>
  <si>
    <t xml:space="preserve">Duration moved from five to six years as a goodwill gesture recognising EU movement on scale; review clause mandatory, terms of reference for drafting | Licensing administration of the country-specific UK tranche | Removal of FTA-disapplication drafting, replaced by anti-circumvention and rules-of-origin enforcement architecture scoped to UK-originating steel under the TCA: objective origin-verification standards, audit/inspection cooperation, snap-back subject to defined evidentiary thresholds, due process and proportionality | Carve-outs for product lines where EU downstream industries are demonstrably dependent on UK supply | Parallel-measure commitments (preservation of EU country-specific allocations) to be tabled in specific terms only at the close, against a complete package with convergent volume figures | No advance waiver of UK Article XXVIII withdrawal rights; adequate compensation in the settlement is what removes the basis for withdrawal</t>
  </si>
  <si>
    <t xml:space="preserve">Licensing administration of the UK tranche | FTA swap scoped to UK-originating steel under the TCA: rules-of-origin enforcement and anti-circumvention provisions replacing blanket disapplication; snap-back with defined evidentiary thresholds, max ten-working-day consultation window, proportionality, no prior external review, reviewable in arrears | Product-line carve-outs for demonstrated EU downstream dependency, capped at 100,000 tonnes/year within the pool | Strictly limited further tranche room available only against: specific current-volume preservation of EU country-specific allocations under the UK parallel measure, UK acceptance of 25% out-of-quota rate, and concluded swap architecture | Residual pool not earmarked; other Article XXVIII processes not prejudged | Failure consequence: notified basis proceeds (400,000t global FCFS at 50%)</t>
  </si>
  <si>
    <t xml:space="preserve">Hybrid structure: guaranteed UK country-specific licensed core of at least 1,400,000 tonnes within a total pool of at least 1,800,000 tonnes, plus a global residual of no more than 400,000 tonnes on which UK exporters may also draw; residual access is upside only and does not count toward or erode the core | UK parallel measure: preservation of EU country-specific allocations at current volumes, conditional on conclusion of the full package and the EU measure remaining in force; not enhancement; no advance waiver of Article XXVIII rights | FTA preferences: blanket disapplication removed and replaced by rules-of-origin enforcement and anti-circumvention provisions scoped to UK-originating steel under the TCA, with defined evidentiary thresholds, ten-working-day pre-suspension consultation, proportionality, express restoration of access upon cure, and co-terminous survival with the measure as confirmed through review | Product-line carve-outs for demonstrated EU downstream dependency on UK supply, capped at 100,000 tonnes per year within the pool, additive to and not substituting for core tonnage | Six-year duration with mandatory review clause</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</si>
</sst>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666666"/>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9"/>
    <col collapsed="false" customWidth="true" hidden="false" outlineLevel="0" max="4" min="4" style="1" width="10"/>
    <col collapsed="false" customWidth="true" hidden="false" outlineLevel="0" max="6" min="5" style="1" width="18"/>
    <col collapsed="false" customWidth="true" hidden="false" outlineLevel="0" max="7" min="7" style="1" width="17"/>
    <col collapsed="false" customWidth="true" hidden="false" outlineLevel="0" max="8" min="8" style="1" width="24"/>
  </cols>
  <sheetData>
    <row r="1" customFormat="false" ht="15.75" hidden="false" customHeight="true" outlineLevel="0" collapsed="false">
      <c r="A1" s="2" t="s">
        <v>0</v>
      </c>
    </row>
    <row r="2" customFormat="false" ht="42" hidden="false" customHeight="true" outlineLevel="0" collapsed="false">
      <c r="A2" s="3" t="s">
        <v>1</v>
      </c>
      <c r="B2" s="3"/>
      <c r="C2" s="3"/>
      <c r="D2" s="3"/>
      <c r="E2" s="3"/>
      <c r="F2" s="3"/>
      <c r="G2" s="3"/>
      <c r="H2" s="3"/>
      <c r="I2" s="3"/>
    </row>
    <row r="4" customFormat="false" ht="30" hidden="false" customHeight="true" outlineLevel="0" collapsed="false">
      <c r="A4" s="4" t="s">
        <v>2</v>
      </c>
      <c r="B4" s="4" t="s">
        <v>3</v>
      </c>
      <c r="C4" s="4" t="s">
        <v>4</v>
      </c>
      <c r="D4" s="4" t="s">
        <v>5</v>
      </c>
      <c r="E4" s="4" t="s">
        <v>6</v>
      </c>
      <c r="F4" s="4" t="s">
        <v>7</v>
      </c>
      <c r="G4" s="4" t="s">
        <v>8</v>
      </c>
      <c r="H4" s="4" t="s">
        <v>9</v>
      </c>
    </row>
    <row r="5" customFormat="false" ht="15" hidden="false" customHeight="true" outlineLevel="0" collapsed="false">
      <c r="A5" s="5" t="s">
        <v>10</v>
      </c>
      <c r="B5" s="5" t="n">
        <f aca="false">COUNTIFS('Run index'!$D$2:$D$9,"control")</f>
        <v>2</v>
      </c>
      <c r="C5" s="5" t="n">
        <f aca="false">COUNTIFS('Run index'!$D$2:$D$9,"control",'Run index'!$R$2:$R$9,"settled")</f>
        <v>0</v>
      </c>
      <c r="D5" s="6" t="n">
        <f aca="false">IF($B5=0,"",$C5/$B5)</f>
        <v>0</v>
      </c>
      <c r="E5" s="7" t="str">
        <f aca="false">IFERROR(AVERAGEIFS('Run index'!$W$2:$W$9,'Run index'!$D$2:$D$9,"control"),"—")</f>
        <v>—</v>
      </c>
      <c r="F5" s="7" t="str">
        <f aca="false">IFERROR(AVERAGEIFS('Run index'!$X$2:$X$9,'Run index'!$D$2:$D$9,"control"),"—")</f>
        <v>—</v>
      </c>
      <c r="G5" s="8" t="str">
        <f aca="false">IFERROR(AVERAGEIFS('Run index'!$Z$2:$Z$9,'Run index'!$D$2:$D$9,"control"),"—")</f>
        <v>—</v>
      </c>
      <c r="H5" s="5" t="n">
        <f aca="false">SUMIFS('Run index'!$AP$2:$AP$9,'Run index'!$D$2:$D$9,"control")</f>
        <v>1</v>
      </c>
    </row>
    <row r="6" customFormat="false" ht="15" hidden="false" customHeight="true" outlineLevel="0" collapsed="false">
      <c r="A6" s="5" t="s">
        <v>11</v>
      </c>
      <c r="B6" s="5" t="n">
        <f aca="false">COUNTIFS('Run index'!$D$2:$D$9,"firm")</f>
        <v>2</v>
      </c>
      <c r="C6" s="5" t="n">
        <f aca="false">COUNTIFS('Run index'!$D$2:$D$9,"firm",'Run index'!$R$2:$R$9,"settled")</f>
        <v>0</v>
      </c>
      <c r="D6" s="6" t="n">
        <f aca="false">IF($B6=0,"",$C6/$B6)</f>
        <v>0</v>
      </c>
      <c r="E6" s="7" t="str">
        <f aca="false">IFERROR(AVERAGEIFS('Run index'!$W$2:$W$9,'Run index'!$D$2:$D$9,"firm"),"—")</f>
        <v>—</v>
      </c>
      <c r="F6" s="7" t="str">
        <f aca="false">IFERROR(AVERAGEIFS('Run index'!$X$2:$X$9,'Run index'!$D$2:$D$9,"firm"),"—")</f>
        <v>—</v>
      </c>
      <c r="G6" s="8" t="str">
        <f aca="false">IFERROR(AVERAGEIFS('Run index'!$Z$2:$Z$9,'Run index'!$D$2:$D$9,"firm"),"—")</f>
        <v>—</v>
      </c>
      <c r="H6" s="5" t="n">
        <f aca="false">SUMIFS('Run index'!$AP$2:$AP$9,'Run index'!$D$2:$D$9,"firm")</f>
        <v>1</v>
      </c>
    </row>
    <row r="7" customFormat="false" ht="15" hidden="false" customHeight="true" outlineLevel="0" collapsed="false">
      <c r="A7" s="5" t="s">
        <v>12</v>
      </c>
      <c r="B7" s="5" t="n">
        <f aca="false">COUNTIFS('Run index'!$D$2:$D$9,"accommodating")</f>
        <v>2</v>
      </c>
      <c r="C7" s="5" t="n">
        <f aca="false">COUNTIFS('Run index'!$D$2:$D$9,"accommodating",'Run index'!$R$2:$R$9,"settled")</f>
        <v>1</v>
      </c>
      <c r="D7" s="6" t="n">
        <f aca="false">IF($B7=0,"",$C7/$B7)</f>
        <v>0.5</v>
      </c>
      <c r="E7" s="7" t="n">
        <f aca="false">IFERROR(AVERAGEIFS('Run index'!$W$2:$W$9,'Run index'!$D$2:$D$9,"accommodating"),"—")</f>
        <v>1000000</v>
      </c>
      <c r="F7" s="7" t="n">
        <f aca="false">IFERROR(AVERAGEIFS('Run index'!$X$2:$X$9,'Run index'!$D$2:$D$9,"accommodating"),"—")</f>
        <v>800000</v>
      </c>
      <c r="G7" s="8" t="n">
        <f aca="false">IFERROR(AVERAGEIFS('Run index'!$Z$2:$Z$9,'Run index'!$D$2:$D$9,"accommodating"),"—")</f>
        <v>35</v>
      </c>
      <c r="H7" s="5" t="n">
        <f aca="false">SUMIFS('Run index'!$AP$2:$AP$9,'Run index'!$D$2:$D$9,"accommodating")</f>
        <v>3</v>
      </c>
    </row>
    <row r="8" customFormat="false" ht="15" hidden="false" customHeight="true" outlineLevel="0" collapsed="false">
      <c r="A8" s="5" t="s">
        <v>13</v>
      </c>
      <c r="B8" s="5" t="n">
        <f aca="false">COUNTIFS('Run index'!$D$2:$D$9,"focal_firm_ukgva")</f>
        <v>2</v>
      </c>
      <c r="C8" s="5" t="n">
        <f aca="false">COUNTIFS('Run index'!$D$2:$D$9,"focal_firm_ukgva",'Run index'!$R$2:$R$9,"settled")</f>
        <v>0</v>
      </c>
      <c r="D8" s="6" t="n">
        <f aca="false">IF($B8=0,"",$C8/$B8)</f>
        <v>0</v>
      </c>
      <c r="E8" s="7" t="str">
        <f aca="false">IFERROR(AVERAGEIFS('Run index'!$W$2:$W$9,'Run index'!$D$2:$D$9,"focal_firm_ukgva"),"—")</f>
        <v>—</v>
      </c>
      <c r="F8" s="7" t="str">
        <f aca="false">IFERROR(AVERAGEIFS('Run index'!$X$2:$X$9,'Run index'!$D$2:$D$9,"focal_firm_ukgva"),"—")</f>
        <v>—</v>
      </c>
      <c r="G8" s="8" t="str">
        <f aca="false">IFERROR(AVERAGEIFS('Run index'!$Z$2:$Z$9,'Run index'!$D$2:$D$9,"focal_firm_ukgva"),"—")</f>
        <v>—</v>
      </c>
      <c r="H8" s="5" t="n">
        <f aca="false">SUMIFS('Run index'!$AP$2:$AP$9,'Run index'!$D$2:$D$9,"focal_firm_ukgva")</f>
        <v>0</v>
      </c>
    </row>
    <row r="9" customFormat="false" ht="15" hidden="false" customHeight="true" outlineLevel="0" collapsed="false">
      <c r="A9" s="9" t="s">
        <v>14</v>
      </c>
      <c r="B9" s="9" t="n">
        <f aca="false">SUM($B$5:$B$8)</f>
        <v>8</v>
      </c>
      <c r="C9" s="9" t="n">
        <f aca="false">COUNTIFS('Run index'!$R$2:$R$9,"settled")</f>
        <v>1</v>
      </c>
      <c r="D9" s="10" t="n">
        <f aca="false">IF($B9=0,"",$C9/$B9)</f>
        <v>0.125</v>
      </c>
      <c r="E9" s="11" t="n">
        <f aca="false">IFERROR(AVERAGEIF('Run index'!$W$2:$W$9,"&lt;&gt;"),"—")</f>
        <v>1000000</v>
      </c>
      <c r="F9" s="11" t="n">
        <f aca="false">IFERROR(AVERAGEIF('Run index'!$X$2:$X$9,"&lt;&gt;"),"—")</f>
        <v>800000</v>
      </c>
      <c r="G9" s="12" t="n">
        <f aca="false">IFERROR(AVERAGEIF('Run index'!$Z$2:$Z$9,"&lt;&gt;"),"—")</f>
        <v>35</v>
      </c>
      <c r="H9" s="9" t="n">
        <f aca="false">SUM('Run index'!$AP$2:$AP$9)</f>
        <v>5</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2"/>
    <col collapsed="false" customWidth="true" hidden="false" outlineLevel="0" max="3" min="3" style="1" width="25"/>
    <col collapsed="false" customWidth="true" hidden="false" outlineLevel="0" max="4" min="4" style="1" width="18"/>
    <col collapsed="false" customWidth="true" hidden="false" outlineLevel="0" max="5" min="5" style="1" width="9"/>
    <col collapsed="false" customWidth="true" hidden="false" outlineLevel="0" max="6" min="6" style="1" width="13"/>
    <col collapsed="false" customWidth="true" hidden="false" outlineLevel="0" max="8" min="7" style="1" width="26"/>
    <col collapsed="false" customWidth="true" hidden="false" outlineLevel="0" max="9" min="9" style="1" width="18"/>
    <col collapsed="false" customWidth="true" hidden="false" outlineLevel="0" max="10" min="10" style="1" width="14"/>
    <col collapsed="false" customWidth="true" hidden="false" outlineLevel="0" max="11" min="11" style="1" width="13"/>
    <col collapsed="false" customWidth="true" hidden="false" outlineLevel="0" max="12" min="12" style="1" width="9"/>
    <col collapsed="false" customWidth="true" hidden="false" outlineLevel="0" max="13" min="13" style="1" width="16"/>
    <col collapsed="false" customWidth="true" hidden="false" outlineLevel="0" max="14" min="14" style="1" width="15"/>
    <col collapsed="false" customWidth="true" hidden="false" outlineLevel="0" max="15" min="15" style="1" width="20"/>
    <col collapsed="false" customWidth="true" hidden="false" outlineLevel="0" max="16" min="16" style="1" width="9"/>
    <col collapsed="false" customWidth="true" hidden="false" outlineLevel="0" max="17" min="17" style="1" width="42"/>
    <col collapsed="false" customWidth="true" hidden="false" outlineLevel="0" max="18" min="18" style="1" width="18"/>
    <col collapsed="false" customWidth="true" hidden="false" outlineLevel="0" max="19" min="19" style="1" width="9"/>
    <col collapsed="false" customWidth="true" hidden="false" outlineLevel="0" max="20" min="20" style="1" width="18"/>
    <col collapsed="false" customWidth="true" hidden="false" outlineLevel="0" max="21" min="21" style="1" width="15"/>
    <col collapsed="false" customWidth="true" hidden="false" outlineLevel="0" max="22" min="22" style="1" width="13"/>
    <col collapsed="false" customWidth="true" hidden="false" outlineLevel="0" max="24" min="23" style="1" width="26"/>
    <col collapsed="false" customWidth="true" hidden="false" outlineLevel="0" max="25" min="25" style="1" width="19"/>
    <col collapsed="false" customWidth="true" hidden="false" outlineLevel="0" max="26" min="26" style="1" width="30"/>
    <col collapsed="false" customWidth="true" hidden="false" outlineLevel="0" max="27" min="27" style="1" width="23"/>
    <col collapsed="false" customWidth="true" hidden="false" outlineLevel="0" max="28" min="28" style="1" width="22"/>
    <col collapsed="false" customWidth="true" hidden="false" outlineLevel="0" max="29" min="29" style="1" width="15"/>
    <col collapsed="false" customWidth="true" hidden="false" outlineLevel="0" max="30" min="30" style="1" width="42"/>
    <col collapsed="false" customWidth="true" hidden="false" outlineLevel="0" max="31" min="31" style="1" width="20"/>
    <col collapsed="false" customWidth="true" hidden="false" outlineLevel="0" max="32" min="32" style="1" width="27"/>
    <col collapsed="false" customWidth="true" hidden="false" outlineLevel="0" max="33" min="33" style="1" width="10"/>
    <col collapsed="false" customWidth="true" hidden="false" outlineLevel="0" max="34" min="34" style="1" width="20"/>
    <col collapsed="false" customWidth="true" hidden="false" outlineLevel="0" max="36" min="35" style="1" width="23"/>
    <col collapsed="false" customWidth="true" hidden="false" outlineLevel="0" max="37" min="37" style="1" width="21"/>
    <col collapsed="false" customWidth="true" hidden="false" outlineLevel="0" max="38" min="38" style="1" width="19"/>
    <col collapsed="false" customWidth="true" hidden="false" outlineLevel="0" max="39" min="39" style="1" width="24"/>
    <col collapsed="false" customWidth="true" hidden="false" outlineLevel="0" max="40" min="40" style="1" width="16"/>
    <col collapsed="false" customWidth="true" hidden="false" outlineLevel="0" max="41" min="41" style="1" width="21"/>
    <col collapsed="false" customWidth="true" hidden="false" outlineLevel="0" max="43" min="42" style="1" width="42"/>
    <col collapsed="false" customWidth="true" hidden="false" outlineLevel="0" max="44" min="44" style="1" width="21"/>
    <col collapsed="false" customWidth="true" hidden="false" outlineLevel="0" max="45" min="45" style="1" width="20"/>
    <col collapsed="false" customWidth="true" hidden="false" outlineLevel="0" max="46" min="46" style="1" width="14"/>
    <col collapsed="false" customWidth="true" hidden="false" outlineLevel="0" max="47" min="47" style="1" width="15"/>
    <col collapsed="false" customWidth="true" hidden="false" outlineLevel="0" max="48" min="48" style="1" width="42"/>
  </cols>
  <sheetData>
    <row r="1" customFormat="false" ht="30" hidden="false" customHeight="true" outlineLevel="0" collapsed="false">
      <c r="A1" s="4" t="s">
        <v>15</v>
      </c>
      <c r="B1" s="4" t="s">
        <v>16</v>
      </c>
      <c r="C1" s="4" t="s">
        <v>17</v>
      </c>
      <c r="D1" s="4" t="s">
        <v>18</v>
      </c>
      <c r="E1" s="4" t="s">
        <v>19</v>
      </c>
      <c r="F1" s="4" t="s">
        <v>20</v>
      </c>
      <c r="G1" s="4" t="s">
        <v>21</v>
      </c>
      <c r="H1" s="4" t="s">
        <v>22</v>
      </c>
      <c r="I1" s="4" t="s">
        <v>23</v>
      </c>
      <c r="J1" s="4" t="s">
        <v>24</v>
      </c>
      <c r="K1" s="4" t="s">
        <v>25</v>
      </c>
      <c r="L1" s="4" t="s">
        <v>26</v>
      </c>
      <c r="M1" s="4" t="s">
        <v>27</v>
      </c>
      <c r="N1" s="4" t="s">
        <v>28</v>
      </c>
      <c r="O1" s="4" t="s">
        <v>29</v>
      </c>
      <c r="P1" s="4" t="s">
        <v>30</v>
      </c>
      <c r="Q1" s="4" t="s">
        <v>31</v>
      </c>
      <c r="R1" s="4" t="s">
        <v>32</v>
      </c>
      <c r="S1" s="4" t="s">
        <v>33</v>
      </c>
      <c r="T1" s="4" t="s">
        <v>34</v>
      </c>
      <c r="U1" s="4" t="s">
        <v>35</v>
      </c>
      <c r="V1" s="4" t="s">
        <v>36</v>
      </c>
      <c r="W1" s="4" t="s">
        <v>37</v>
      </c>
      <c r="X1" s="4" t="s">
        <v>38</v>
      </c>
      <c r="Y1" s="4" t="s">
        <v>39</v>
      </c>
      <c r="Z1" s="4" t="s">
        <v>40</v>
      </c>
      <c r="AA1" s="4" t="s">
        <v>41</v>
      </c>
      <c r="AB1" s="4" t="s">
        <v>42</v>
      </c>
      <c r="AC1" s="4" t="s">
        <v>43</v>
      </c>
      <c r="AD1" s="4" t="s">
        <v>44</v>
      </c>
      <c r="AE1" s="4" t="s">
        <v>45</v>
      </c>
      <c r="AF1" s="4" t="s">
        <v>46</v>
      </c>
      <c r="AG1" s="4" t="s">
        <v>47</v>
      </c>
      <c r="AH1" s="4" t="s">
        <v>48</v>
      </c>
      <c r="AI1" s="4" t="s">
        <v>49</v>
      </c>
      <c r="AJ1" s="4" t="s">
        <v>50</v>
      </c>
      <c r="AK1" s="4" t="s">
        <v>51</v>
      </c>
      <c r="AL1" s="4" t="s">
        <v>52</v>
      </c>
      <c r="AM1" s="4" t="s">
        <v>53</v>
      </c>
      <c r="AN1" s="4" t="s">
        <v>54</v>
      </c>
      <c r="AO1" s="4" t="s">
        <v>55</v>
      </c>
      <c r="AP1" s="4" t="s">
        <v>56</v>
      </c>
      <c r="AQ1" s="4" t="s">
        <v>57</v>
      </c>
      <c r="AR1" s="4" t="s">
        <v>58</v>
      </c>
      <c r="AS1" s="4" t="s">
        <v>59</v>
      </c>
      <c r="AT1" s="4" t="s">
        <v>60</v>
      </c>
      <c r="AU1" s="4" t="s">
        <v>61</v>
      </c>
      <c r="AV1" s="4" t="s">
        <v>62</v>
      </c>
    </row>
    <row r="2" customFormat="false" ht="15" hidden="false" customHeight="true" outlineLevel="0" collapsed="false">
      <c r="A2" s="5" t="s">
        <v>63</v>
      </c>
      <c r="B2" s="5" t="s">
        <v>64</v>
      </c>
      <c r="C2" s="5" t="s">
        <v>65</v>
      </c>
      <c r="D2" s="5" t="s">
        <v>12</v>
      </c>
      <c r="E2" s="5" t="n">
        <v>1</v>
      </c>
      <c r="F2" s="5" t="s">
        <v>66</v>
      </c>
      <c r="G2" s="5" t="s">
        <v>67</v>
      </c>
      <c r="H2" s="5" t="s">
        <v>68</v>
      </c>
      <c r="I2" s="5" t="s">
        <v>69</v>
      </c>
      <c r="J2" s="5" t="n">
        <v>0.2</v>
      </c>
      <c r="K2" s="5" t="s">
        <v>70</v>
      </c>
      <c r="L2" s="5" t="s">
        <v>71</v>
      </c>
      <c r="M2" s="5" t="s">
        <v>72</v>
      </c>
      <c r="N2" s="5" t="n">
        <v>4</v>
      </c>
      <c r="O2" s="13" t="b">
        <f aca="false">TRUE()</f>
        <v>1</v>
      </c>
      <c r="P2" s="13" t="b">
        <f aca="false">TRUE()</f>
        <v>1</v>
      </c>
      <c r="Q2" s="5" t="s">
        <v>73</v>
      </c>
      <c r="R2" s="5" t="s">
        <v>33</v>
      </c>
      <c r="S2" s="13" t="b">
        <f aca="false">TRUE()</f>
        <v>1</v>
      </c>
      <c r="T2" s="5" t="n">
        <v>4</v>
      </c>
      <c r="U2" s="5" t="n">
        <v>4</v>
      </c>
      <c r="V2" s="5" t="n">
        <v>8</v>
      </c>
      <c r="W2" s="7" t="n">
        <v>1000000</v>
      </c>
      <c r="X2" s="7" t="n">
        <v>800000</v>
      </c>
      <c r="Y2" s="5" t="s">
        <v>74</v>
      </c>
      <c r="Z2" s="5" t="n">
        <v>35</v>
      </c>
      <c r="AA2" s="5" t="n">
        <v>6</v>
      </c>
      <c r="AB2" s="13" t="b">
        <f aca="false">TRUE()</f>
        <v>1</v>
      </c>
      <c r="AC2" s="13" t="b">
        <f aca="false">FALSE()</f>
        <v>0</v>
      </c>
      <c r="AD2" s="5"/>
      <c r="AE2" s="5"/>
      <c r="AF2" s="5"/>
      <c r="AG2" s="5" t="n">
        <v>54</v>
      </c>
      <c r="AH2" s="5" t="n">
        <v>0</v>
      </c>
      <c r="AI2" s="5" t="n">
        <v>0</v>
      </c>
      <c r="AJ2" s="5" t="n">
        <v>0</v>
      </c>
      <c r="AK2" s="5" t="n">
        <v>8</v>
      </c>
      <c r="AL2" s="5" t="n">
        <v>3</v>
      </c>
      <c r="AM2" s="5" t="n">
        <v>8</v>
      </c>
      <c r="AN2" s="5" t="n">
        <v>8</v>
      </c>
      <c r="AO2" s="5" t="n">
        <v>8</v>
      </c>
      <c r="AP2" s="5" t="n">
        <v>1</v>
      </c>
      <c r="AQ2" s="5" t="s">
        <v>75</v>
      </c>
      <c r="AR2" s="5" t="n">
        <v>0</v>
      </c>
      <c r="AS2" s="5" t="n">
        <v>0</v>
      </c>
      <c r="AT2" s="7" t="n">
        <v>0</v>
      </c>
      <c r="AU2" s="7" t="n">
        <v>0</v>
      </c>
      <c r="AV2" s="5" t="s">
        <v>76</v>
      </c>
    </row>
    <row r="3" customFormat="false" ht="15" hidden="false" customHeight="true" outlineLevel="0" collapsed="false">
      <c r="A3" s="5" t="s">
        <v>77</v>
      </c>
      <c r="B3" s="5" t="s">
        <v>78</v>
      </c>
      <c r="C3" s="5" t="s">
        <v>65</v>
      </c>
      <c r="D3" s="5" t="s">
        <v>12</v>
      </c>
      <c r="E3" s="5" t="n">
        <v>2</v>
      </c>
      <c r="F3" s="5" t="s">
        <v>66</v>
      </c>
      <c r="G3" s="5" t="s">
        <v>79</v>
      </c>
      <c r="H3" s="5" t="s">
        <v>80</v>
      </c>
      <c r="I3" s="5" t="s">
        <v>69</v>
      </c>
      <c r="J3" s="5" t="n">
        <v>0.2</v>
      </c>
      <c r="K3" s="5" t="s">
        <v>70</v>
      </c>
      <c r="L3" s="5" t="s">
        <v>71</v>
      </c>
      <c r="M3" s="5" t="s">
        <v>72</v>
      </c>
      <c r="N3" s="5" t="n">
        <v>4</v>
      </c>
      <c r="O3" s="13" t="b">
        <f aca="false">TRUE()</f>
        <v>1</v>
      </c>
      <c r="P3" s="13" t="b">
        <f aca="false">TRUE()</f>
        <v>1</v>
      </c>
      <c r="Q3" s="5" t="s">
        <v>73</v>
      </c>
      <c r="R3" s="5" t="s">
        <v>81</v>
      </c>
      <c r="S3" s="13" t="b">
        <f aca="false">FALSE()</f>
        <v>0</v>
      </c>
      <c r="T3" s="5"/>
      <c r="U3" s="5" t="n">
        <v>4</v>
      </c>
      <c r="V3" s="5" t="n">
        <v>8</v>
      </c>
      <c r="W3" s="7"/>
      <c r="X3" s="7"/>
      <c r="Y3" s="5"/>
      <c r="Z3" s="5"/>
      <c r="AA3" s="5"/>
      <c r="AB3" s="5"/>
      <c r="AC3" s="13" t="b">
        <f aca="false">FALSE()</f>
        <v>0</v>
      </c>
      <c r="AD3" s="5" t="s">
        <v>82</v>
      </c>
      <c r="AE3" s="13" t="b">
        <f aca="false">FALSE()</f>
        <v>0</v>
      </c>
      <c r="AF3" s="13" t="b">
        <f aca="false">TRUE()</f>
        <v>1</v>
      </c>
      <c r="AG3" s="5" t="n">
        <v>53</v>
      </c>
      <c r="AH3" s="5" t="n">
        <v>0</v>
      </c>
      <c r="AI3" s="5" t="n">
        <v>0</v>
      </c>
      <c r="AJ3" s="5" t="n">
        <v>0</v>
      </c>
      <c r="AK3" s="5" t="n">
        <v>8</v>
      </c>
      <c r="AL3" s="5" t="n">
        <v>0</v>
      </c>
      <c r="AM3" s="5" t="n">
        <v>8</v>
      </c>
      <c r="AN3" s="5" t="n">
        <v>8</v>
      </c>
      <c r="AO3" s="5" t="n">
        <v>8</v>
      </c>
      <c r="AP3" s="5" t="n">
        <v>2</v>
      </c>
      <c r="AQ3" s="5" t="s">
        <v>83</v>
      </c>
      <c r="AR3" s="5" t="n">
        <v>0</v>
      </c>
      <c r="AS3" s="5" t="n">
        <v>0</v>
      </c>
      <c r="AT3" s="7" t="n">
        <v>0</v>
      </c>
      <c r="AU3" s="7" t="n">
        <v>0</v>
      </c>
      <c r="AV3" s="5" t="s">
        <v>76</v>
      </c>
    </row>
    <row r="4" customFormat="false" ht="15" hidden="false" customHeight="true" outlineLevel="0" collapsed="false">
      <c r="A4" s="5" t="s">
        <v>84</v>
      </c>
      <c r="B4" s="5" t="s">
        <v>85</v>
      </c>
      <c r="C4" s="5" t="s">
        <v>65</v>
      </c>
      <c r="D4" s="5" t="s">
        <v>10</v>
      </c>
      <c r="E4" s="5" t="n">
        <v>1</v>
      </c>
      <c r="F4" s="5" t="s">
        <v>66</v>
      </c>
      <c r="G4" s="5" t="s">
        <v>86</v>
      </c>
      <c r="H4" s="5" t="s">
        <v>87</v>
      </c>
      <c r="I4" s="5" t="s">
        <v>69</v>
      </c>
      <c r="J4" s="5" t="n">
        <v>0.2</v>
      </c>
      <c r="K4" s="5" t="s">
        <v>70</v>
      </c>
      <c r="L4" s="5" t="s">
        <v>71</v>
      </c>
      <c r="M4" s="5" t="s">
        <v>72</v>
      </c>
      <c r="N4" s="5" t="n">
        <v>4</v>
      </c>
      <c r="O4" s="13" t="b">
        <f aca="false">TRUE()</f>
        <v>1</v>
      </c>
      <c r="P4" s="13" t="b">
        <f aca="false">TRUE()</f>
        <v>1</v>
      </c>
      <c r="Q4" s="5" t="s">
        <v>88</v>
      </c>
      <c r="R4" s="5" t="s">
        <v>81</v>
      </c>
      <c r="S4" s="13" t="b">
        <f aca="false">FALSE()</f>
        <v>0</v>
      </c>
      <c r="T4" s="5"/>
      <c r="U4" s="5" t="n">
        <v>4</v>
      </c>
      <c r="V4" s="5" t="n">
        <v>8</v>
      </c>
      <c r="W4" s="7"/>
      <c r="X4" s="7"/>
      <c r="Y4" s="5"/>
      <c r="Z4" s="5"/>
      <c r="AA4" s="5"/>
      <c r="AB4" s="5"/>
      <c r="AC4" s="13" t="b">
        <f aca="false">FALSE()</f>
        <v>0</v>
      </c>
      <c r="AD4" s="5"/>
      <c r="AE4" s="5"/>
      <c r="AF4" s="5"/>
      <c r="AG4" s="5" t="n">
        <v>52</v>
      </c>
      <c r="AH4" s="5" t="n">
        <v>1</v>
      </c>
      <c r="AI4" s="5" t="n">
        <v>1</v>
      </c>
      <c r="AJ4" s="5" t="n">
        <v>0</v>
      </c>
      <c r="AK4" s="5" t="n">
        <v>8</v>
      </c>
      <c r="AL4" s="5" t="n">
        <v>0</v>
      </c>
      <c r="AM4" s="5" t="n">
        <v>8</v>
      </c>
      <c r="AN4" s="5" t="n">
        <v>8</v>
      </c>
      <c r="AO4" s="5" t="n">
        <v>8</v>
      </c>
      <c r="AP4" s="5" t="n">
        <v>1</v>
      </c>
      <c r="AQ4" s="5" t="s">
        <v>89</v>
      </c>
      <c r="AR4" s="5" t="n">
        <v>0</v>
      </c>
      <c r="AS4" s="5" t="n">
        <v>0</v>
      </c>
      <c r="AT4" s="7" t="n">
        <v>0</v>
      </c>
      <c r="AU4" s="7" t="n">
        <v>0</v>
      </c>
      <c r="AV4" s="5" t="s">
        <v>76</v>
      </c>
    </row>
    <row r="5" customFormat="false" ht="15" hidden="false" customHeight="true" outlineLevel="0" collapsed="false">
      <c r="A5" s="5" t="s">
        <v>90</v>
      </c>
      <c r="B5" s="5" t="s">
        <v>91</v>
      </c>
      <c r="C5" s="5" t="s">
        <v>65</v>
      </c>
      <c r="D5" s="5" t="s">
        <v>10</v>
      </c>
      <c r="E5" s="5" t="n">
        <v>2</v>
      </c>
      <c r="F5" s="5" t="s">
        <v>66</v>
      </c>
      <c r="G5" s="5" t="s">
        <v>92</v>
      </c>
      <c r="H5" s="5" t="s">
        <v>93</v>
      </c>
      <c r="I5" s="5" t="s">
        <v>69</v>
      </c>
      <c r="J5" s="5" t="n">
        <v>0.2</v>
      </c>
      <c r="K5" s="5" t="s">
        <v>70</v>
      </c>
      <c r="L5" s="5" t="s">
        <v>71</v>
      </c>
      <c r="M5" s="5" t="s">
        <v>72</v>
      </c>
      <c r="N5" s="5" t="n">
        <v>4</v>
      </c>
      <c r="O5" s="13" t="b">
        <f aca="false">TRUE()</f>
        <v>1</v>
      </c>
      <c r="P5" s="13" t="b">
        <f aca="false">TRUE()</f>
        <v>1</v>
      </c>
      <c r="Q5" s="5" t="s">
        <v>88</v>
      </c>
      <c r="R5" s="5" t="s">
        <v>81</v>
      </c>
      <c r="S5" s="13" t="b">
        <f aca="false">FALSE()</f>
        <v>0</v>
      </c>
      <c r="T5" s="5"/>
      <c r="U5" s="5" t="n">
        <v>4</v>
      </c>
      <c r="V5" s="5" t="n">
        <v>8</v>
      </c>
      <c r="W5" s="7"/>
      <c r="X5" s="7"/>
      <c r="Y5" s="5"/>
      <c r="Z5" s="5"/>
      <c r="AA5" s="5"/>
      <c r="AB5" s="5"/>
      <c r="AC5" s="13" t="b">
        <f aca="false">FALSE()</f>
        <v>0</v>
      </c>
      <c r="AD5" s="5" t="s">
        <v>82</v>
      </c>
      <c r="AE5" s="13" t="b">
        <f aca="false">FALSE()</f>
        <v>0</v>
      </c>
      <c r="AF5" s="13" t="b">
        <f aca="false">TRUE()</f>
        <v>1</v>
      </c>
      <c r="AG5" s="5" t="n">
        <v>52</v>
      </c>
      <c r="AH5" s="5" t="n">
        <v>0</v>
      </c>
      <c r="AI5" s="5" t="n">
        <v>0</v>
      </c>
      <c r="AJ5" s="5" t="n">
        <v>0</v>
      </c>
      <c r="AK5" s="5" t="n">
        <v>8</v>
      </c>
      <c r="AL5" s="5" t="n">
        <v>1</v>
      </c>
      <c r="AM5" s="5" t="n">
        <v>8</v>
      </c>
      <c r="AN5" s="5" t="n">
        <v>8</v>
      </c>
      <c r="AO5" s="5" t="n">
        <v>8</v>
      </c>
      <c r="AP5" s="5" t="n">
        <v>0</v>
      </c>
      <c r="AQ5" s="5"/>
      <c r="AR5" s="5" t="n">
        <v>0</v>
      </c>
      <c r="AS5" s="5" t="n">
        <v>0</v>
      </c>
      <c r="AT5" s="7" t="n">
        <v>0</v>
      </c>
      <c r="AU5" s="7" t="n">
        <v>0</v>
      </c>
      <c r="AV5" s="5" t="s">
        <v>76</v>
      </c>
    </row>
    <row r="6" customFormat="false" ht="15" hidden="false" customHeight="true" outlineLevel="0" collapsed="false">
      <c r="A6" s="5" t="s">
        <v>94</v>
      </c>
      <c r="B6" s="5" t="s">
        <v>95</v>
      </c>
      <c r="C6" s="5" t="s">
        <v>65</v>
      </c>
      <c r="D6" s="5" t="s">
        <v>11</v>
      </c>
      <c r="E6" s="5" t="n">
        <v>1</v>
      </c>
      <c r="F6" s="5" t="s">
        <v>66</v>
      </c>
      <c r="G6" s="5" t="s">
        <v>96</v>
      </c>
      <c r="H6" s="5" t="s">
        <v>97</v>
      </c>
      <c r="I6" s="5" t="s">
        <v>69</v>
      </c>
      <c r="J6" s="5" t="n">
        <v>0.2</v>
      </c>
      <c r="K6" s="5" t="s">
        <v>70</v>
      </c>
      <c r="L6" s="5" t="s">
        <v>71</v>
      </c>
      <c r="M6" s="5" t="s">
        <v>72</v>
      </c>
      <c r="N6" s="5" t="n">
        <v>4</v>
      </c>
      <c r="O6" s="13" t="b">
        <f aca="false">TRUE()</f>
        <v>1</v>
      </c>
      <c r="P6" s="13" t="b">
        <f aca="false">TRUE()</f>
        <v>1</v>
      </c>
      <c r="Q6" s="5" t="s">
        <v>98</v>
      </c>
      <c r="R6" s="5" t="s">
        <v>81</v>
      </c>
      <c r="S6" s="13" t="b">
        <f aca="false">FALSE()</f>
        <v>0</v>
      </c>
      <c r="T6" s="5"/>
      <c r="U6" s="5" t="n">
        <v>4</v>
      </c>
      <c r="V6" s="5" t="n">
        <v>8</v>
      </c>
      <c r="W6" s="7"/>
      <c r="X6" s="7"/>
      <c r="Y6" s="5"/>
      <c r="Z6" s="5"/>
      <c r="AA6" s="5"/>
      <c r="AB6" s="5"/>
      <c r="AC6" s="13" t="b">
        <f aca="false">FALSE()</f>
        <v>0</v>
      </c>
      <c r="AD6" s="5"/>
      <c r="AE6" s="5"/>
      <c r="AF6" s="5"/>
      <c r="AG6" s="5" t="n">
        <v>52</v>
      </c>
      <c r="AH6" s="5" t="n">
        <v>0</v>
      </c>
      <c r="AI6" s="5" t="n">
        <v>0</v>
      </c>
      <c r="AJ6" s="5" t="n">
        <v>0</v>
      </c>
      <c r="AK6" s="5" t="n">
        <v>8</v>
      </c>
      <c r="AL6" s="5" t="n">
        <v>2</v>
      </c>
      <c r="AM6" s="5" t="n">
        <v>8</v>
      </c>
      <c r="AN6" s="5" t="n">
        <v>8</v>
      </c>
      <c r="AO6" s="5" t="n">
        <v>8</v>
      </c>
      <c r="AP6" s="5" t="n">
        <v>0</v>
      </c>
      <c r="AQ6" s="5"/>
      <c r="AR6" s="5" t="n">
        <v>0</v>
      </c>
      <c r="AS6" s="5" t="n">
        <v>0</v>
      </c>
      <c r="AT6" s="7" t="n">
        <v>0</v>
      </c>
      <c r="AU6" s="7" t="n">
        <v>0</v>
      </c>
      <c r="AV6" s="5" t="s">
        <v>76</v>
      </c>
    </row>
    <row r="7" customFormat="false" ht="15" hidden="false" customHeight="true" outlineLevel="0" collapsed="false">
      <c r="A7" s="5" t="s">
        <v>99</v>
      </c>
      <c r="B7" s="5" t="s">
        <v>100</v>
      </c>
      <c r="C7" s="5" t="s">
        <v>65</v>
      </c>
      <c r="D7" s="5" t="s">
        <v>11</v>
      </c>
      <c r="E7" s="5" t="n">
        <v>2</v>
      </c>
      <c r="F7" s="5" t="s">
        <v>66</v>
      </c>
      <c r="G7" s="5" t="s">
        <v>101</v>
      </c>
      <c r="H7" s="5" t="s">
        <v>102</v>
      </c>
      <c r="I7" s="5" t="s">
        <v>69</v>
      </c>
      <c r="J7" s="5" t="n">
        <v>0.2</v>
      </c>
      <c r="K7" s="5" t="s">
        <v>70</v>
      </c>
      <c r="L7" s="5" t="s">
        <v>71</v>
      </c>
      <c r="M7" s="5" t="s">
        <v>72</v>
      </c>
      <c r="N7" s="5" t="n">
        <v>4</v>
      </c>
      <c r="O7" s="13" t="b">
        <f aca="false">TRUE()</f>
        <v>1</v>
      </c>
      <c r="P7" s="13" t="b">
        <f aca="false">TRUE()</f>
        <v>1</v>
      </c>
      <c r="Q7" s="5" t="s">
        <v>98</v>
      </c>
      <c r="R7" s="5" t="s">
        <v>81</v>
      </c>
      <c r="S7" s="13" t="b">
        <f aca="false">FALSE()</f>
        <v>0</v>
      </c>
      <c r="T7" s="5"/>
      <c r="U7" s="5" t="n">
        <v>4</v>
      </c>
      <c r="V7" s="5" t="n">
        <v>8</v>
      </c>
      <c r="W7" s="7"/>
      <c r="X7" s="7"/>
      <c r="Y7" s="5"/>
      <c r="Z7" s="5"/>
      <c r="AA7" s="5"/>
      <c r="AB7" s="5"/>
      <c r="AC7" s="13" t="b">
        <f aca="false">FALSE()</f>
        <v>0</v>
      </c>
      <c r="AD7" s="5"/>
      <c r="AE7" s="5"/>
      <c r="AF7" s="5"/>
      <c r="AG7" s="5" t="n">
        <v>55</v>
      </c>
      <c r="AH7" s="5" t="n">
        <v>1</v>
      </c>
      <c r="AI7" s="5" t="n">
        <v>0</v>
      </c>
      <c r="AJ7" s="5" t="n">
        <v>1</v>
      </c>
      <c r="AK7" s="5" t="n">
        <v>8</v>
      </c>
      <c r="AL7" s="5" t="n">
        <v>3</v>
      </c>
      <c r="AM7" s="5" t="n">
        <v>8</v>
      </c>
      <c r="AN7" s="5" t="n">
        <v>8</v>
      </c>
      <c r="AO7" s="5" t="n">
        <v>8</v>
      </c>
      <c r="AP7" s="5" t="n">
        <v>1</v>
      </c>
      <c r="AQ7" s="5" t="s">
        <v>103</v>
      </c>
      <c r="AR7" s="5" t="n">
        <v>0</v>
      </c>
      <c r="AS7" s="5" t="n">
        <v>0</v>
      </c>
      <c r="AT7" s="7" t="n">
        <v>0</v>
      </c>
      <c r="AU7" s="7" t="n">
        <v>0</v>
      </c>
      <c r="AV7" s="5" t="s">
        <v>76</v>
      </c>
    </row>
    <row r="8" customFormat="false" ht="15" hidden="false" customHeight="true" outlineLevel="0" collapsed="false">
      <c r="A8" s="5" t="s">
        <v>104</v>
      </c>
      <c r="B8" s="5" t="s">
        <v>105</v>
      </c>
      <c r="C8" s="5" t="s">
        <v>65</v>
      </c>
      <c r="D8" s="5" t="s">
        <v>13</v>
      </c>
      <c r="E8" s="5" t="n">
        <v>1</v>
      </c>
      <c r="F8" s="5" t="s">
        <v>66</v>
      </c>
      <c r="G8" s="5" t="s">
        <v>106</v>
      </c>
      <c r="H8" s="5" t="s">
        <v>107</v>
      </c>
      <c r="I8" s="5" t="s">
        <v>69</v>
      </c>
      <c r="J8" s="5" t="n">
        <v>0.2</v>
      </c>
      <c r="K8" s="5" t="s">
        <v>70</v>
      </c>
      <c r="L8" s="5" t="s">
        <v>71</v>
      </c>
      <c r="M8" s="5" t="s">
        <v>72</v>
      </c>
      <c r="N8" s="5" t="n">
        <v>4</v>
      </c>
      <c r="O8" s="13" t="b">
        <f aca="false">TRUE()</f>
        <v>1</v>
      </c>
      <c r="P8" s="13" t="b">
        <f aca="false">TRUE()</f>
        <v>1</v>
      </c>
      <c r="Q8" s="5" t="s">
        <v>108</v>
      </c>
      <c r="R8" s="5" t="s">
        <v>81</v>
      </c>
      <c r="S8" s="13" t="b">
        <f aca="false">FALSE()</f>
        <v>0</v>
      </c>
      <c r="T8" s="5"/>
      <c r="U8" s="5" t="n">
        <v>4</v>
      </c>
      <c r="V8" s="5" t="n">
        <v>8</v>
      </c>
      <c r="W8" s="7"/>
      <c r="X8" s="7"/>
      <c r="Y8" s="5"/>
      <c r="Z8" s="5"/>
      <c r="AA8" s="5"/>
      <c r="AB8" s="5"/>
      <c r="AC8" s="13" t="b">
        <f aca="false">FALSE()</f>
        <v>0</v>
      </c>
      <c r="AD8" s="5" t="s">
        <v>109</v>
      </c>
      <c r="AE8" s="13" t="b">
        <f aca="false">FALSE()</f>
        <v>0</v>
      </c>
      <c r="AF8" s="13" t="b">
        <f aca="false">TRUE()</f>
        <v>1</v>
      </c>
      <c r="AG8" s="5" t="n">
        <v>53</v>
      </c>
      <c r="AH8" s="5" t="n">
        <v>0</v>
      </c>
      <c r="AI8" s="5" t="n">
        <v>0</v>
      </c>
      <c r="AJ8" s="5" t="n">
        <v>0</v>
      </c>
      <c r="AK8" s="5" t="n">
        <v>8</v>
      </c>
      <c r="AL8" s="5" t="n">
        <v>2</v>
      </c>
      <c r="AM8" s="5" t="n">
        <v>8</v>
      </c>
      <c r="AN8" s="5" t="n">
        <v>8</v>
      </c>
      <c r="AO8" s="5" t="n">
        <v>8</v>
      </c>
      <c r="AP8" s="5" t="n">
        <v>0</v>
      </c>
      <c r="AQ8" s="5"/>
      <c r="AR8" s="5" t="n">
        <v>0</v>
      </c>
      <c r="AS8" s="5" t="n">
        <v>0</v>
      </c>
      <c r="AT8" s="7" t="n">
        <v>0</v>
      </c>
      <c r="AU8" s="7" t="n">
        <v>0</v>
      </c>
      <c r="AV8" s="5" t="s">
        <v>76</v>
      </c>
    </row>
    <row r="9" customFormat="false" ht="15" hidden="false" customHeight="true" outlineLevel="0" collapsed="false">
      <c r="A9" s="5" t="s">
        <v>110</v>
      </c>
      <c r="B9" s="5" t="s">
        <v>111</v>
      </c>
      <c r="C9" s="5" t="s">
        <v>65</v>
      </c>
      <c r="D9" s="5" t="s">
        <v>13</v>
      </c>
      <c r="E9" s="5" t="n">
        <v>2</v>
      </c>
      <c r="F9" s="5" t="s">
        <v>66</v>
      </c>
      <c r="G9" s="5" t="s">
        <v>112</v>
      </c>
      <c r="H9" s="5" t="s">
        <v>113</v>
      </c>
      <c r="I9" s="5" t="s">
        <v>69</v>
      </c>
      <c r="J9" s="5" t="n">
        <v>0.2</v>
      </c>
      <c r="K9" s="5" t="s">
        <v>70</v>
      </c>
      <c r="L9" s="5" t="s">
        <v>71</v>
      </c>
      <c r="M9" s="5" t="s">
        <v>72</v>
      </c>
      <c r="N9" s="5" t="n">
        <v>4</v>
      </c>
      <c r="O9" s="13" t="b">
        <f aca="false">TRUE()</f>
        <v>1</v>
      </c>
      <c r="P9" s="13" t="b">
        <f aca="false">TRUE()</f>
        <v>1</v>
      </c>
      <c r="Q9" s="5" t="s">
        <v>108</v>
      </c>
      <c r="R9" s="5" t="s">
        <v>81</v>
      </c>
      <c r="S9" s="13" t="b">
        <f aca="false">FALSE()</f>
        <v>0</v>
      </c>
      <c r="T9" s="5"/>
      <c r="U9" s="5" t="n">
        <v>4</v>
      </c>
      <c r="V9" s="5" t="n">
        <v>8</v>
      </c>
      <c r="W9" s="7"/>
      <c r="X9" s="7"/>
      <c r="Y9" s="5"/>
      <c r="Z9" s="5"/>
      <c r="AA9" s="5"/>
      <c r="AB9" s="5"/>
      <c r="AC9" s="13" t="b">
        <f aca="false">FALSE()</f>
        <v>0</v>
      </c>
      <c r="AD9" s="5"/>
      <c r="AE9" s="5"/>
      <c r="AF9" s="5"/>
      <c r="AG9" s="5" t="n">
        <v>53</v>
      </c>
      <c r="AH9" s="5" t="n">
        <v>0</v>
      </c>
      <c r="AI9" s="5" t="n">
        <v>0</v>
      </c>
      <c r="AJ9" s="5" t="n">
        <v>0</v>
      </c>
      <c r="AK9" s="5" t="n">
        <v>8</v>
      </c>
      <c r="AL9" s="5" t="n">
        <v>3</v>
      </c>
      <c r="AM9" s="5" t="n">
        <v>8</v>
      </c>
      <c r="AN9" s="5" t="n">
        <v>8</v>
      </c>
      <c r="AO9" s="5" t="n">
        <v>8</v>
      </c>
      <c r="AP9" s="5" t="n">
        <v>0</v>
      </c>
      <c r="AQ9" s="5"/>
      <c r="AR9" s="5" t="n">
        <v>0</v>
      </c>
      <c r="AS9" s="5" t="n">
        <v>0</v>
      </c>
      <c r="AT9" s="7" t="n">
        <v>0</v>
      </c>
      <c r="AU9" s="7" t="n">
        <v>0</v>
      </c>
      <c r="AV9" s="5" t="s">
        <v>76</v>
      </c>
    </row>
  </sheetData>
  <autoFilter ref="A1:AV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11"/>
    <col collapsed="false" customWidth="true" hidden="false" outlineLevel="0" max="4" min="4" style="1" width="19"/>
    <col collapsed="false" customWidth="true" hidden="false" outlineLevel="0" max="6" min="5" style="1" width="9"/>
    <col collapsed="false" customWidth="true" hidden="false" outlineLevel="0" max="7" min="7" style="1" width="25"/>
    <col collapsed="false" customWidth="true" hidden="false" outlineLevel="0" max="8" min="8" style="1" width="60"/>
  </cols>
  <sheetData>
    <row r="1" customFormat="false" ht="15" hidden="false" customHeight="true" outlineLevel="0" collapsed="false">
      <c r="A1" s="14" t="s">
        <v>114</v>
      </c>
    </row>
    <row r="2" customFormat="false" ht="42" hidden="false" customHeight="true" outlineLevel="0" collapsed="false">
      <c r="A2" s="3" t="s">
        <v>115</v>
      </c>
      <c r="B2" s="3"/>
      <c r="C2" s="3"/>
      <c r="D2" s="3"/>
      <c r="E2" s="3"/>
      <c r="F2" s="3"/>
      <c r="G2" s="3"/>
      <c r="H2" s="3"/>
    </row>
    <row r="4" customFormat="false" ht="19.5" hidden="false" customHeight="true" outlineLevel="0" collapsed="false">
      <c r="A4" s="4" t="s">
        <v>116</v>
      </c>
      <c r="B4" s="4" t="s">
        <v>117</v>
      </c>
      <c r="C4" s="4" t="s">
        <v>118</v>
      </c>
      <c r="D4" s="4" t="s">
        <v>119</v>
      </c>
      <c r="E4" s="4" t="s">
        <v>120</v>
      </c>
      <c r="F4" s="4" t="s">
        <v>121</v>
      </c>
      <c r="G4" s="4" t="s">
        <v>122</v>
      </c>
      <c r="H4" s="4" t="s">
        <v>123</v>
      </c>
    </row>
    <row r="5" customFormat="false" ht="15" hidden="false" customHeight="true" outlineLevel="0" collapsed="false">
      <c r="A5" s="5" t="s">
        <v>84</v>
      </c>
      <c r="B5" s="5" t="n">
        <v>4</v>
      </c>
      <c r="C5" s="5" t="s">
        <v>124</v>
      </c>
      <c r="D5" s="5" t="s">
        <v>125</v>
      </c>
      <c r="E5" s="5" t="n">
        <v>1400000</v>
      </c>
      <c r="F5" s="5" t="n">
        <v>1100000</v>
      </c>
      <c r="G5" s="5" t="s">
        <v>126</v>
      </c>
      <c r="H5" s="5" t="s">
        <v>127</v>
      </c>
    </row>
    <row r="6" customFormat="false" ht="15" hidden="false" customHeight="true" outlineLevel="0" collapsed="false">
      <c r="A6" s="5" t="s">
        <v>99</v>
      </c>
      <c r="B6" s="5" t="n">
        <v>4</v>
      </c>
      <c r="C6" s="5" t="s">
        <v>128</v>
      </c>
      <c r="D6" s="5" t="s">
        <v>125</v>
      </c>
      <c r="E6" s="5" t="n">
        <v>600000</v>
      </c>
      <c r="F6" s="5" t="n">
        <v>1400000</v>
      </c>
      <c r="G6" s="5" t="s">
        <v>129</v>
      </c>
      <c r="H6" s="5" t="s">
        <v>130</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5" min="3" style="1" width="9"/>
    <col collapsed="false" customWidth="true" hidden="false" outlineLevel="0" max="6" min="6" style="1" width="11"/>
    <col collapsed="false" customWidth="true" hidden="false" outlineLevel="0" max="7" min="7" style="1" width="9"/>
    <col collapsed="false" customWidth="true" hidden="false" outlineLevel="0" max="9" min="8" style="1" width="19"/>
    <col collapsed="false" customWidth="true" hidden="false" outlineLevel="0" max="10" min="10" style="1" width="18"/>
    <col collapsed="false" customWidth="true" hidden="false" outlineLevel="0" max="11" min="11" style="1" width="23"/>
    <col collapsed="false" customWidth="true" hidden="false" outlineLevel="0" max="12" min="12" style="1" width="16"/>
    <col collapsed="false" customWidth="true" hidden="false" outlineLevel="0" max="13" min="13" style="1" width="15"/>
    <col collapsed="false" customWidth="true" hidden="false" outlineLevel="0" max="14" min="14" style="1" width="42"/>
    <col collapsed="false" customWidth="true" hidden="false" outlineLevel="0" max="15" min="15" style="1" width="15"/>
  </cols>
  <sheetData>
    <row r="1" customFormat="false" ht="30" hidden="false" customHeight="true" outlineLevel="0" collapsed="false">
      <c r="A1" s="4" t="s">
        <v>15</v>
      </c>
      <c r="B1" s="4" t="s">
        <v>18</v>
      </c>
      <c r="C1" s="4" t="s">
        <v>19</v>
      </c>
      <c r="D1" s="4" t="s">
        <v>131</v>
      </c>
      <c r="E1" s="4" t="s">
        <v>117</v>
      </c>
      <c r="F1" s="4" t="s">
        <v>118</v>
      </c>
      <c r="G1" s="4" t="s">
        <v>132</v>
      </c>
      <c r="H1" s="4" t="s">
        <v>125</v>
      </c>
      <c r="I1" s="4" t="s">
        <v>133</v>
      </c>
      <c r="J1" s="4" t="s">
        <v>134</v>
      </c>
      <c r="K1" s="4" t="s">
        <v>135</v>
      </c>
      <c r="L1" s="4" t="s">
        <v>136</v>
      </c>
      <c r="M1" s="4" t="s">
        <v>137</v>
      </c>
      <c r="N1" s="4" t="s">
        <v>138</v>
      </c>
      <c r="O1" s="4" t="s">
        <v>139</v>
      </c>
    </row>
    <row r="2" customFormat="false" ht="15" hidden="false" customHeight="true" outlineLevel="0" collapsed="false">
      <c r="A2" s="5" t="s">
        <v>63</v>
      </c>
      <c r="B2" s="5" t="s">
        <v>12</v>
      </c>
      <c r="C2" s="5" t="n">
        <v>1</v>
      </c>
      <c r="D2" s="5" t="n">
        <v>5</v>
      </c>
      <c r="E2" s="5" t="n">
        <v>1</v>
      </c>
      <c r="F2" s="5" t="s">
        <v>128</v>
      </c>
      <c r="G2" s="5" t="s">
        <v>140</v>
      </c>
      <c r="H2" s="7" t="n">
        <v>800000</v>
      </c>
      <c r="I2" s="7" t="n">
        <v>400000</v>
      </c>
      <c r="J2" s="5" t="s">
        <v>74</v>
      </c>
      <c r="K2" s="5" t="n">
        <v>40</v>
      </c>
      <c r="L2" s="5" t="n">
        <v>8</v>
      </c>
      <c r="M2" s="13" t="b">
        <f aca="false">TRUE()</f>
        <v>1</v>
      </c>
      <c r="N2" s="5" t="s">
        <v>141</v>
      </c>
      <c r="O2" s="5" t="n">
        <v>1015</v>
      </c>
    </row>
    <row r="3" customFormat="false" ht="15" hidden="false" customHeight="true" outlineLevel="0" collapsed="false">
      <c r="A3" s="5" t="s">
        <v>63</v>
      </c>
      <c r="B3" s="5" t="s">
        <v>12</v>
      </c>
      <c r="C3" s="5" t="n">
        <v>1</v>
      </c>
      <c r="D3" s="5" t="n">
        <v>6</v>
      </c>
      <c r="E3" s="5" t="n">
        <v>1</v>
      </c>
      <c r="F3" s="5" t="s">
        <v>124</v>
      </c>
      <c r="G3" s="5" t="s">
        <v>142</v>
      </c>
      <c r="H3" s="7" t="n">
        <v>4000000</v>
      </c>
      <c r="I3" s="7" t="n">
        <v>1800000</v>
      </c>
      <c r="J3" s="5" t="s">
        <v>74</v>
      </c>
      <c r="K3" s="5" t="n">
        <v>25</v>
      </c>
      <c r="L3" s="5" t="n">
        <v>5</v>
      </c>
      <c r="M3" s="13" t="b">
        <f aca="false">TRUE()</f>
        <v>1</v>
      </c>
      <c r="N3" s="5" t="s">
        <v>143</v>
      </c>
      <c r="O3" s="5" t="n">
        <v>1233</v>
      </c>
    </row>
    <row r="4" customFormat="false" ht="15" hidden="false" customHeight="true" outlineLevel="0" collapsed="false">
      <c r="A4" s="5" t="s">
        <v>63</v>
      </c>
      <c r="B4" s="5" t="s">
        <v>12</v>
      </c>
      <c r="C4" s="5" t="n">
        <v>1</v>
      </c>
      <c r="D4" s="5" t="n">
        <v>18</v>
      </c>
      <c r="E4" s="5" t="n">
        <v>2</v>
      </c>
      <c r="F4" s="5" t="s">
        <v>128</v>
      </c>
      <c r="G4" s="5" t="s">
        <v>142</v>
      </c>
      <c r="H4" s="7" t="n">
        <v>1000000</v>
      </c>
      <c r="I4" s="7" t="n">
        <v>550000</v>
      </c>
      <c r="J4" s="5" t="s">
        <v>74</v>
      </c>
      <c r="K4" s="5" t="n">
        <v>40</v>
      </c>
      <c r="L4" s="5" t="n">
        <v>6</v>
      </c>
      <c r="M4" s="13" t="b">
        <f aca="false">TRUE()</f>
        <v>1</v>
      </c>
      <c r="N4" s="5" t="s">
        <v>144</v>
      </c>
      <c r="O4" s="5" t="n">
        <v>1960</v>
      </c>
    </row>
    <row r="5" customFormat="false" ht="15" hidden="false" customHeight="true" outlineLevel="0" collapsed="false">
      <c r="A5" s="5" t="s">
        <v>63</v>
      </c>
      <c r="B5" s="5" t="s">
        <v>12</v>
      </c>
      <c r="C5" s="5" t="n">
        <v>1</v>
      </c>
      <c r="D5" s="5" t="n">
        <v>19</v>
      </c>
      <c r="E5" s="5" t="n">
        <v>2</v>
      </c>
      <c r="F5" s="5" t="s">
        <v>124</v>
      </c>
      <c r="G5" s="5" t="s">
        <v>142</v>
      </c>
      <c r="H5" s="7" t="n">
        <v>3000000</v>
      </c>
      <c r="I5" s="7" t="n">
        <v>1800000</v>
      </c>
      <c r="J5" s="5" t="s">
        <v>74</v>
      </c>
      <c r="K5" s="5" t="n">
        <v>25</v>
      </c>
      <c r="L5" s="5" t="n">
        <v>6</v>
      </c>
      <c r="M5" s="13" t="b">
        <f aca="false">TRUE()</f>
        <v>1</v>
      </c>
      <c r="N5" s="5" t="s">
        <v>145</v>
      </c>
      <c r="O5" s="5" t="n">
        <v>2440</v>
      </c>
    </row>
    <row r="6" customFormat="false" ht="15" hidden="false" customHeight="true" outlineLevel="0" collapsed="false">
      <c r="A6" s="5" t="s">
        <v>63</v>
      </c>
      <c r="B6" s="5" t="s">
        <v>12</v>
      </c>
      <c r="C6" s="5" t="n">
        <v>1</v>
      </c>
      <c r="D6" s="5" t="n">
        <v>30</v>
      </c>
      <c r="E6" s="5" t="n">
        <v>3</v>
      </c>
      <c r="F6" s="5" t="s">
        <v>128</v>
      </c>
      <c r="G6" s="5" t="s">
        <v>142</v>
      </c>
      <c r="H6" s="7" t="n">
        <v>1100000</v>
      </c>
      <c r="I6" s="7" t="n">
        <v>620000</v>
      </c>
      <c r="J6" s="5" t="s">
        <v>74</v>
      </c>
      <c r="K6" s="5" t="n">
        <v>40</v>
      </c>
      <c r="L6" s="5" t="n">
        <v>6</v>
      </c>
      <c r="M6" s="13" t="b">
        <f aca="false">TRUE()</f>
        <v>1</v>
      </c>
      <c r="N6" s="5" t="s">
        <v>146</v>
      </c>
      <c r="O6" s="5" t="n">
        <v>2520</v>
      </c>
    </row>
    <row r="7" customFormat="false" ht="15" hidden="false" customHeight="true" outlineLevel="0" collapsed="false">
      <c r="A7" s="5" t="s">
        <v>63</v>
      </c>
      <c r="B7" s="5" t="s">
        <v>12</v>
      </c>
      <c r="C7" s="5" t="n">
        <v>1</v>
      </c>
      <c r="D7" s="5" t="n">
        <v>31</v>
      </c>
      <c r="E7" s="5" t="n">
        <v>3</v>
      </c>
      <c r="F7" s="5" t="s">
        <v>124</v>
      </c>
      <c r="G7" s="5" t="s">
        <v>142</v>
      </c>
      <c r="H7" s="7" t="n">
        <v>3000000</v>
      </c>
      <c r="I7" s="7" t="n">
        <v>1800000</v>
      </c>
      <c r="J7" s="5" t="s">
        <v>74</v>
      </c>
      <c r="K7" s="5" t="n">
        <v>25</v>
      </c>
      <c r="L7" s="5" t="n">
        <v>6</v>
      </c>
      <c r="M7" s="13" t="b">
        <f aca="false">TRUE()</f>
        <v>1</v>
      </c>
      <c r="N7" s="5" t="s">
        <v>147</v>
      </c>
      <c r="O7" s="5" t="n">
        <v>3800</v>
      </c>
    </row>
    <row r="8" customFormat="false" ht="15" hidden="false" customHeight="true" outlineLevel="0" collapsed="false">
      <c r="A8" s="5" t="s">
        <v>63</v>
      </c>
      <c r="B8" s="5" t="s">
        <v>12</v>
      </c>
      <c r="C8" s="5" t="n">
        <v>1</v>
      </c>
      <c r="D8" s="5" t="n">
        <v>41</v>
      </c>
      <c r="E8" s="5" t="n">
        <v>4</v>
      </c>
      <c r="F8" s="5" t="s">
        <v>128</v>
      </c>
      <c r="G8" s="5" t="s">
        <v>142</v>
      </c>
      <c r="H8" s="7" t="n">
        <v>1100000</v>
      </c>
      <c r="I8" s="7" t="n">
        <v>750000</v>
      </c>
      <c r="J8" s="5" t="s">
        <v>74</v>
      </c>
      <c r="K8" s="5" t="n">
        <v>35</v>
      </c>
      <c r="L8" s="5" t="n">
        <v>6</v>
      </c>
      <c r="M8" s="13" t="b">
        <f aca="false">TRUE()</f>
        <v>1</v>
      </c>
      <c r="N8" s="5" t="s">
        <v>148</v>
      </c>
      <c r="O8" s="5" t="n">
        <v>3887</v>
      </c>
    </row>
    <row r="9" customFormat="false" ht="15" hidden="false" customHeight="true" outlineLevel="0" collapsed="false">
      <c r="A9" s="5" t="s">
        <v>63</v>
      </c>
      <c r="B9" s="5" t="s">
        <v>12</v>
      </c>
      <c r="C9" s="5" t="n">
        <v>1</v>
      </c>
      <c r="D9" s="5" t="n">
        <v>42</v>
      </c>
      <c r="E9" s="5" t="n">
        <v>4</v>
      </c>
      <c r="F9" s="5" t="s">
        <v>124</v>
      </c>
      <c r="G9" s="5" t="s">
        <v>142</v>
      </c>
      <c r="H9" s="7" t="n">
        <v>1200000</v>
      </c>
      <c r="I9" s="7" t="n">
        <v>1150000</v>
      </c>
      <c r="J9" s="5" t="s">
        <v>74</v>
      </c>
      <c r="K9" s="5" t="n">
        <v>25</v>
      </c>
      <c r="L9" s="5" t="n">
        <v>6</v>
      </c>
      <c r="M9" s="13" t="b">
        <f aca="false">TRUE()</f>
        <v>1</v>
      </c>
      <c r="N9" s="5" t="s">
        <v>149</v>
      </c>
      <c r="O9" s="5" t="n">
        <v>2652</v>
      </c>
    </row>
    <row r="10" customFormat="false" ht="15" hidden="false" customHeight="true" outlineLevel="0" collapsed="false">
      <c r="A10" s="5" t="s">
        <v>77</v>
      </c>
      <c r="B10" s="5" t="s">
        <v>12</v>
      </c>
      <c r="C10" s="5" t="n">
        <v>2</v>
      </c>
      <c r="D10" s="5" t="n">
        <v>5</v>
      </c>
      <c r="E10" s="5" t="n">
        <v>1</v>
      </c>
      <c r="F10" s="5" t="s">
        <v>128</v>
      </c>
      <c r="G10" s="5" t="s">
        <v>140</v>
      </c>
      <c r="H10" s="7" t="n">
        <v>400000</v>
      </c>
      <c r="I10" s="7" t="n">
        <v>250000</v>
      </c>
      <c r="J10" s="5" t="s">
        <v>74</v>
      </c>
      <c r="K10" s="5" t="n">
        <v>50</v>
      </c>
      <c r="L10" s="5" t="n">
        <v>4</v>
      </c>
      <c r="M10" s="13" t="b">
        <f aca="false">TRUE()</f>
        <v>1</v>
      </c>
      <c r="N10" s="5" t="s">
        <v>150</v>
      </c>
      <c r="O10" s="5" t="n">
        <v>1359</v>
      </c>
    </row>
    <row r="11" customFormat="false" ht="15" hidden="false" customHeight="true" outlineLevel="0" collapsed="false">
      <c r="A11" s="5" t="s">
        <v>77</v>
      </c>
      <c r="B11" s="5" t="s">
        <v>12</v>
      </c>
      <c r="C11" s="5" t="n">
        <v>2</v>
      </c>
      <c r="D11" s="5" t="n">
        <v>6</v>
      </c>
      <c r="E11" s="5" t="n">
        <v>1</v>
      </c>
      <c r="F11" s="5" t="s">
        <v>124</v>
      </c>
      <c r="G11" s="5" t="s">
        <v>142</v>
      </c>
      <c r="H11" s="7" t="n">
        <v>3000000</v>
      </c>
      <c r="I11" s="7" t="n">
        <v>2200000</v>
      </c>
      <c r="J11" s="5" t="s">
        <v>74</v>
      </c>
      <c r="K11" s="5" t="n">
        <v>25</v>
      </c>
      <c r="L11" s="5" t="n">
        <v>5</v>
      </c>
      <c r="M11" s="13" t="b">
        <f aca="false">TRUE()</f>
        <v>1</v>
      </c>
      <c r="N11" s="5" t="s">
        <v>151</v>
      </c>
      <c r="O11" s="5" t="n">
        <v>2160</v>
      </c>
    </row>
    <row r="12" customFormat="false" ht="15" hidden="false" customHeight="true" outlineLevel="0" collapsed="false">
      <c r="A12" s="5" t="s">
        <v>77</v>
      </c>
      <c r="B12" s="5" t="s">
        <v>12</v>
      </c>
      <c r="C12" s="5" t="n">
        <v>2</v>
      </c>
      <c r="D12" s="5" t="n">
        <v>16</v>
      </c>
      <c r="E12" s="5" t="n">
        <v>2</v>
      </c>
      <c r="F12" s="5" t="s">
        <v>128</v>
      </c>
      <c r="G12" s="5" t="s">
        <v>142</v>
      </c>
      <c r="H12" s="7" t="n">
        <v>600000</v>
      </c>
      <c r="I12" s="7" t="n">
        <v>400000</v>
      </c>
      <c r="J12" s="5" t="s">
        <v>74</v>
      </c>
      <c r="K12" s="5" t="n">
        <v>50</v>
      </c>
      <c r="L12" s="5" t="n">
        <v>5</v>
      </c>
      <c r="M12" s="13" t="b">
        <f aca="false">TRUE()</f>
        <v>1</v>
      </c>
      <c r="N12" s="5" t="s">
        <v>152</v>
      </c>
      <c r="O12" s="5" t="n">
        <v>2753</v>
      </c>
    </row>
    <row r="13" customFormat="false" ht="15" hidden="false" customHeight="true" outlineLevel="0" collapsed="false">
      <c r="A13" s="5" t="s">
        <v>77</v>
      </c>
      <c r="B13" s="5" t="s">
        <v>12</v>
      </c>
      <c r="C13" s="5" t="n">
        <v>2</v>
      </c>
      <c r="D13" s="5" t="n">
        <v>17</v>
      </c>
      <c r="E13" s="5" t="n">
        <v>2</v>
      </c>
      <c r="F13" s="5" t="s">
        <v>124</v>
      </c>
      <c r="G13" s="5" t="s">
        <v>142</v>
      </c>
      <c r="H13" s="7" t="n">
        <v>2200000</v>
      </c>
      <c r="I13" s="7" t="n">
        <v>1700000</v>
      </c>
      <c r="J13" s="5" t="s">
        <v>74</v>
      </c>
      <c r="K13" s="5" t="n">
        <v>25</v>
      </c>
      <c r="L13" s="5" t="n">
        <v>5</v>
      </c>
      <c r="M13" s="13" t="b">
        <f aca="false">TRUE()</f>
        <v>1</v>
      </c>
      <c r="N13" s="5" t="s">
        <v>153</v>
      </c>
      <c r="O13" s="5" t="n">
        <v>2753</v>
      </c>
    </row>
    <row r="14" customFormat="false" ht="15" hidden="false" customHeight="true" outlineLevel="0" collapsed="false">
      <c r="A14" s="5" t="s">
        <v>77</v>
      </c>
      <c r="B14" s="5" t="s">
        <v>12</v>
      </c>
      <c r="C14" s="5" t="n">
        <v>2</v>
      </c>
      <c r="D14" s="5" t="n">
        <v>27</v>
      </c>
      <c r="E14" s="5" t="n">
        <v>3</v>
      </c>
      <c r="F14" s="5" t="s">
        <v>128</v>
      </c>
      <c r="G14" s="5" t="s">
        <v>142</v>
      </c>
      <c r="H14" s="7" t="n">
        <v>800000</v>
      </c>
      <c r="I14" s="7" t="n">
        <v>550000</v>
      </c>
      <c r="J14" s="5" t="s">
        <v>74</v>
      </c>
      <c r="K14" s="5" t="n">
        <v>50</v>
      </c>
      <c r="L14" s="5" t="n">
        <v>5</v>
      </c>
      <c r="M14" s="13" t="b">
        <f aca="false">TRUE()</f>
        <v>1</v>
      </c>
      <c r="N14" s="5" t="s">
        <v>154</v>
      </c>
      <c r="O14" s="5" t="n">
        <v>3132</v>
      </c>
    </row>
    <row r="15" customFormat="false" ht="15" hidden="false" customHeight="true" outlineLevel="0" collapsed="false">
      <c r="A15" s="5" t="s">
        <v>77</v>
      </c>
      <c r="B15" s="5" t="s">
        <v>12</v>
      </c>
      <c r="C15" s="5" t="n">
        <v>2</v>
      </c>
      <c r="D15" s="5" t="n">
        <v>28</v>
      </c>
      <c r="E15" s="5" t="n">
        <v>3</v>
      </c>
      <c r="F15" s="5" t="s">
        <v>124</v>
      </c>
      <c r="G15" s="5" t="s">
        <v>142</v>
      </c>
      <c r="H15" s="7" t="n">
        <v>1900000</v>
      </c>
      <c r="I15" s="7" t="n">
        <v>1550000</v>
      </c>
      <c r="J15" s="5" t="s">
        <v>74</v>
      </c>
      <c r="K15" s="5" t="n">
        <v>25</v>
      </c>
      <c r="L15" s="5" t="n">
        <v>5</v>
      </c>
      <c r="M15" s="13" t="b">
        <f aca="false">TRUE()</f>
        <v>1</v>
      </c>
      <c r="N15" s="5" t="s">
        <v>155</v>
      </c>
      <c r="O15" s="5" t="n">
        <v>4467</v>
      </c>
    </row>
    <row r="16" customFormat="false" ht="15" hidden="false" customHeight="true" outlineLevel="0" collapsed="false">
      <c r="A16" s="5" t="s">
        <v>77</v>
      </c>
      <c r="B16" s="5" t="s">
        <v>12</v>
      </c>
      <c r="C16" s="5" t="n">
        <v>2</v>
      </c>
      <c r="D16" s="5" t="n">
        <v>38</v>
      </c>
      <c r="E16" s="5" t="n">
        <v>4</v>
      </c>
      <c r="F16" s="5" t="s">
        <v>128</v>
      </c>
      <c r="G16" s="5" t="s">
        <v>142</v>
      </c>
      <c r="H16" s="7" t="n">
        <v>1000000</v>
      </c>
      <c r="I16" s="7" t="n">
        <v>700000</v>
      </c>
      <c r="J16" s="5" t="s">
        <v>74</v>
      </c>
      <c r="K16" s="5" t="n">
        <v>32</v>
      </c>
      <c r="L16" s="5" t="n">
        <v>5</v>
      </c>
      <c r="M16" s="13" t="b">
        <f aca="false">TRUE()</f>
        <v>1</v>
      </c>
      <c r="N16" s="5" t="s">
        <v>156</v>
      </c>
      <c r="O16" s="5" t="n">
        <v>3304</v>
      </c>
    </row>
    <row r="17" customFormat="false" ht="15" hidden="false" customHeight="true" outlineLevel="0" collapsed="false">
      <c r="A17" s="5" t="s">
        <v>77</v>
      </c>
      <c r="B17" s="5" t="s">
        <v>12</v>
      </c>
      <c r="C17" s="5" t="n">
        <v>2</v>
      </c>
      <c r="D17" s="5" t="n">
        <v>39</v>
      </c>
      <c r="E17" s="5" t="n">
        <v>4</v>
      </c>
      <c r="F17" s="5" t="s">
        <v>124</v>
      </c>
      <c r="G17" s="5" t="s">
        <v>142</v>
      </c>
      <c r="H17" s="7" t="n">
        <v>1500000</v>
      </c>
      <c r="I17" s="7" t="n">
        <v>1100000</v>
      </c>
      <c r="J17" s="5" t="s">
        <v>74</v>
      </c>
      <c r="K17" s="5" t="n">
        <v>32.5</v>
      </c>
      <c r="L17" s="5" t="n">
        <v>5</v>
      </c>
      <c r="M17" s="13" t="b">
        <f aca="false">TRUE()</f>
        <v>1</v>
      </c>
      <c r="N17" s="5" t="s">
        <v>157</v>
      </c>
      <c r="O17" s="5" t="n">
        <v>3041</v>
      </c>
    </row>
    <row r="18" customFormat="false" ht="15" hidden="false" customHeight="true" outlineLevel="0" collapsed="false">
      <c r="A18" s="5" t="s">
        <v>84</v>
      </c>
      <c r="B18" s="5" t="s">
        <v>10</v>
      </c>
      <c r="C18" s="5" t="n">
        <v>1</v>
      </c>
      <c r="D18" s="5" t="n">
        <v>5</v>
      </c>
      <c r="E18" s="5" t="n">
        <v>1</v>
      </c>
      <c r="F18" s="5" t="s">
        <v>128</v>
      </c>
      <c r="G18" s="5" t="s">
        <v>140</v>
      </c>
      <c r="H18" s="7" t="n">
        <v>600000</v>
      </c>
      <c r="I18" s="7" t="n">
        <v>250000</v>
      </c>
      <c r="J18" s="5" t="s">
        <v>74</v>
      </c>
      <c r="K18" s="5" t="n">
        <v>50</v>
      </c>
      <c r="L18" s="5" t="n">
        <v>6</v>
      </c>
      <c r="M18" s="13" t="b">
        <f aca="false">TRUE()</f>
        <v>1</v>
      </c>
      <c r="N18" s="5" t="s">
        <v>158</v>
      </c>
      <c r="O18" s="5" t="n">
        <v>1142</v>
      </c>
    </row>
    <row r="19" customFormat="false" ht="15" hidden="false" customHeight="true" outlineLevel="0" collapsed="false">
      <c r="A19" s="5" t="s">
        <v>84</v>
      </c>
      <c r="B19" s="5" t="s">
        <v>10</v>
      </c>
      <c r="C19" s="5" t="n">
        <v>1</v>
      </c>
      <c r="D19" s="5" t="n">
        <v>6</v>
      </c>
      <c r="E19" s="5" t="n">
        <v>1</v>
      </c>
      <c r="F19" s="5" t="s">
        <v>124</v>
      </c>
      <c r="G19" s="5" t="s">
        <v>142</v>
      </c>
      <c r="H19" s="7" t="n">
        <v>2500000</v>
      </c>
      <c r="I19" s="7" t="n">
        <v>2000000</v>
      </c>
      <c r="J19" s="5" t="s">
        <v>74</v>
      </c>
      <c r="K19" s="5" t="n">
        <v>25</v>
      </c>
      <c r="L19" s="5" t="n">
        <v>4</v>
      </c>
      <c r="M19" s="13" t="b">
        <f aca="false">TRUE()</f>
        <v>1</v>
      </c>
      <c r="N19" s="5" t="s">
        <v>159</v>
      </c>
      <c r="O19" s="5" t="n">
        <v>2020</v>
      </c>
    </row>
    <row r="20" customFormat="false" ht="15" hidden="false" customHeight="true" outlineLevel="0" collapsed="false">
      <c r="A20" s="5" t="s">
        <v>84</v>
      </c>
      <c r="B20" s="5" t="s">
        <v>10</v>
      </c>
      <c r="C20" s="5" t="n">
        <v>1</v>
      </c>
      <c r="D20" s="5" t="n">
        <v>16</v>
      </c>
      <c r="E20" s="5" t="n">
        <v>2</v>
      </c>
      <c r="F20" s="5" t="s">
        <v>128</v>
      </c>
      <c r="G20" s="5" t="s">
        <v>142</v>
      </c>
      <c r="H20" s="7" t="n">
        <v>800000</v>
      </c>
      <c r="I20" s="7" t="n">
        <v>400000</v>
      </c>
      <c r="J20" s="5" t="s">
        <v>74</v>
      </c>
      <c r="K20" s="5" t="n">
        <v>50</v>
      </c>
      <c r="L20" s="5" t="n">
        <v>6</v>
      </c>
      <c r="M20" s="13" t="b">
        <f aca="false">TRUE()</f>
        <v>1</v>
      </c>
      <c r="N20" s="5" t="s">
        <v>160</v>
      </c>
      <c r="O20" s="5" t="n">
        <v>1682</v>
      </c>
    </row>
    <row r="21" customFormat="false" ht="15" hidden="false" customHeight="true" outlineLevel="0" collapsed="false">
      <c r="A21" s="5" t="s">
        <v>84</v>
      </c>
      <c r="B21" s="5" t="s">
        <v>10</v>
      </c>
      <c r="C21" s="5" t="n">
        <v>1</v>
      </c>
      <c r="D21" s="5" t="n">
        <v>17</v>
      </c>
      <c r="E21" s="5" t="n">
        <v>2</v>
      </c>
      <c r="F21" s="5" t="s">
        <v>124</v>
      </c>
      <c r="G21" s="5" t="s">
        <v>142</v>
      </c>
      <c r="H21" s="7" t="n">
        <v>2500000</v>
      </c>
      <c r="I21" s="7" t="n">
        <v>2000000</v>
      </c>
      <c r="J21" s="5" t="s">
        <v>74</v>
      </c>
      <c r="K21" s="5" t="n">
        <v>25</v>
      </c>
      <c r="L21" s="5" t="n">
        <v>4</v>
      </c>
      <c r="M21" s="13" t="b">
        <f aca="false">TRUE()</f>
        <v>1</v>
      </c>
      <c r="N21" s="5" t="s">
        <v>161</v>
      </c>
      <c r="O21" s="5" t="n">
        <v>3200</v>
      </c>
    </row>
    <row r="22" customFormat="false" ht="15" hidden="false" customHeight="true" outlineLevel="0" collapsed="false">
      <c r="A22" s="5" t="s">
        <v>84</v>
      </c>
      <c r="B22" s="5" t="s">
        <v>10</v>
      </c>
      <c r="C22" s="5" t="n">
        <v>1</v>
      </c>
      <c r="D22" s="5" t="n">
        <v>27</v>
      </c>
      <c r="E22" s="5" t="n">
        <v>3</v>
      </c>
      <c r="F22" s="5" t="s">
        <v>128</v>
      </c>
      <c r="G22" s="5" t="s">
        <v>142</v>
      </c>
      <c r="H22" s="7" t="n">
        <v>1000000</v>
      </c>
      <c r="I22" s="7" t="n">
        <v>600000</v>
      </c>
      <c r="J22" s="5" t="s">
        <v>74</v>
      </c>
      <c r="K22" s="5" t="n">
        <v>50</v>
      </c>
      <c r="L22" s="5" t="n">
        <v>6</v>
      </c>
      <c r="M22" s="13" t="b">
        <f aca="false">TRUE()</f>
        <v>1</v>
      </c>
      <c r="N22" s="5" t="s">
        <v>162</v>
      </c>
      <c r="O22" s="5" t="n">
        <v>2471</v>
      </c>
    </row>
    <row r="23" customFormat="false" ht="15" hidden="false" customHeight="true" outlineLevel="0" collapsed="false">
      <c r="A23" s="5" t="s">
        <v>84</v>
      </c>
      <c r="B23" s="5" t="s">
        <v>10</v>
      </c>
      <c r="C23" s="5" t="n">
        <v>1</v>
      </c>
      <c r="D23" s="5" t="n">
        <v>28</v>
      </c>
      <c r="E23" s="5" t="n">
        <v>3</v>
      </c>
      <c r="F23" s="5" t="s">
        <v>124</v>
      </c>
      <c r="G23" s="5" t="s">
        <v>142</v>
      </c>
      <c r="H23" s="7" t="n">
        <v>1400000</v>
      </c>
      <c r="I23" s="7" t="n">
        <v>1200000</v>
      </c>
      <c r="J23" s="5" t="s">
        <v>74</v>
      </c>
      <c r="K23" s="5" t="n">
        <v>25</v>
      </c>
      <c r="L23" s="5" t="n">
        <v>5</v>
      </c>
      <c r="M23" s="13" t="b">
        <f aca="false">TRUE()</f>
        <v>1</v>
      </c>
      <c r="N23" s="5" t="s">
        <v>163</v>
      </c>
      <c r="O23" s="5" t="n">
        <v>4021</v>
      </c>
    </row>
    <row r="24" customFormat="false" ht="15" hidden="false" customHeight="true" outlineLevel="0" collapsed="false">
      <c r="A24" s="5" t="s">
        <v>84</v>
      </c>
      <c r="B24" s="5" t="s">
        <v>10</v>
      </c>
      <c r="C24" s="5" t="n">
        <v>1</v>
      </c>
      <c r="D24" s="5" t="n">
        <v>38</v>
      </c>
      <c r="E24" s="5" t="n">
        <v>4</v>
      </c>
      <c r="F24" s="5" t="s">
        <v>128</v>
      </c>
      <c r="G24" s="5" t="s">
        <v>142</v>
      </c>
      <c r="H24" s="7" t="n">
        <v>1100000</v>
      </c>
      <c r="I24" s="7" t="n">
        <v>750000</v>
      </c>
      <c r="J24" s="5" t="s">
        <v>74</v>
      </c>
      <c r="K24" s="5" t="n">
        <v>50</v>
      </c>
      <c r="L24" s="5" t="n">
        <v>5</v>
      </c>
      <c r="M24" s="13" t="b">
        <f aca="false">TRUE()</f>
        <v>1</v>
      </c>
      <c r="N24" s="5" t="s">
        <v>164</v>
      </c>
      <c r="O24" s="5" t="n">
        <v>3180</v>
      </c>
    </row>
    <row r="25" customFormat="false" ht="15" hidden="false" customHeight="true" outlineLevel="0" collapsed="false">
      <c r="A25" s="5" t="s">
        <v>84</v>
      </c>
      <c r="B25" s="5" t="s">
        <v>10</v>
      </c>
      <c r="C25" s="5" t="n">
        <v>1</v>
      </c>
      <c r="D25" s="5" t="n">
        <v>39</v>
      </c>
      <c r="E25" s="5" t="n">
        <v>4</v>
      </c>
      <c r="F25" s="5" t="s">
        <v>124</v>
      </c>
      <c r="G25" s="5" t="s">
        <v>142</v>
      </c>
      <c r="H25" s="7" t="n">
        <v>1100000</v>
      </c>
      <c r="I25" s="7" t="n">
        <v>800000</v>
      </c>
      <c r="J25" s="5" t="s">
        <v>74</v>
      </c>
      <c r="K25" s="5" t="n">
        <v>50</v>
      </c>
      <c r="L25" s="5" t="n">
        <v>5</v>
      </c>
      <c r="M25" s="13" t="b">
        <f aca="false">TRUE()</f>
        <v>1</v>
      </c>
      <c r="N25" s="5" t="s">
        <v>165</v>
      </c>
      <c r="O25" s="5" t="n">
        <v>4706</v>
      </c>
    </row>
    <row r="26" customFormat="false" ht="15" hidden="false" customHeight="true" outlineLevel="0" collapsed="false">
      <c r="A26" s="5" t="s">
        <v>90</v>
      </c>
      <c r="B26" s="5" t="s">
        <v>10</v>
      </c>
      <c r="C26" s="5" t="n">
        <v>2</v>
      </c>
      <c r="D26" s="5" t="n">
        <v>5</v>
      </c>
      <c r="E26" s="5" t="n">
        <v>1</v>
      </c>
      <c r="F26" s="5" t="s">
        <v>128</v>
      </c>
      <c r="G26" s="5" t="s">
        <v>140</v>
      </c>
      <c r="H26" s="7" t="n">
        <v>1800000</v>
      </c>
      <c r="I26" s="7" t="n">
        <v>1000000</v>
      </c>
      <c r="J26" s="5" t="s">
        <v>74</v>
      </c>
      <c r="K26" s="5" t="n">
        <v>50</v>
      </c>
      <c r="L26" s="5" t="n">
        <v>5</v>
      </c>
      <c r="M26" s="13" t="b">
        <f aca="false">TRUE()</f>
        <v>1</v>
      </c>
      <c r="N26" s="5" t="s">
        <v>166</v>
      </c>
      <c r="O26" s="5" t="n">
        <v>857</v>
      </c>
    </row>
    <row r="27" customFormat="false" ht="15" hidden="false" customHeight="true" outlineLevel="0" collapsed="false">
      <c r="A27" s="5" t="s">
        <v>90</v>
      </c>
      <c r="B27" s="5" t="s">
        <v>10</v>
      </c>
      <c r="C27" s="5" t="n">
        <v>2</v>
      </c>
      <c r="D27" s="5" t="n">
        <v>6</v>
      </c>
      <c r="E27" s="5" t="n">
        <v>1</v>
      </c>
      <c r="F27" s="5" t="s">
        <v>124</v>
      </c>
      <c r="G27" s="5" t="s">
        <v>142</v>
      </c>
      <c r="H27" s="7" t="n">
        <v>4500000</v>
      </c>
      <c r="I27" s="7" t="n">
        <v>2400000</v>
      </c>
      <c r="J27" s="5" t="s">
        <v>74</v>
      </c>
      <c r="K27" s="5" t="n">
        <v>10</v>
      </c>
      <c r="L27" s="5" t="n">
        <v>3</v>
      </c>
      <c r="M27" s="13" t="b">
        <f aca="false">TRUE()</f>
        <v>1</v>
      </c>
      <c r="N27" s="5" t="s">
        <v>167</v>
      </c>
      <c r="O27" s="5" t="n">
        <v>2174</v>
      </c>
    </row>
    <row r="28" customFormat="false" ht="15" hidden="false" customHeight="true" outlineLevel="0" collapsed="false">
      <c r="A28" s="5" t="s">
        <v>90</v>
      </c>
      <c r="B28" s="5" t="s">
        <v>10</v>
      </c>
      <c r="C28" s="5" t="n">
        <v>2</v>
      </c>
      <c r="D28" s="5" t="n">
        <v>16</v>
      </c>
      <c r="E28" s="5" t="n">
        <v>2</v>
      </c>
      <c r="F28" s="5" t="s">
        <v>128</v>
      </c>
      <c r="G28" s="5" t="s">
        <v>142</v>
      </c>
      <c r="H28" s="7" t="n">
        <v>1800000</v>
      </c>
      <c r="I28" s="7" t="n">
        <v>1000000</v>
      </c>
      <c r="J28" s="5" t="s">
        <v>74</v>
      </c>
      <c r="K28" s="5" t="n">
        <v>50</v>
      </c>
      <c r="L28" s="5" t="n">
        <v>5</v>
      </c>
      <c r="M28" s="13" t="b">
        <f aca="false">TRUE()</f>
        <v>1</v>
      </c>
      <c r="N28" s="5" t="s">
        <v>168</v>
      </c>
      <c r="O28" s="5" t="n">
        <v>2550</v>
      </c>
    </row>
    <row r="29" customFormat="false" ht="15" hidden="false" customHeight="true" outlineLevel="0" collapsed="false">
      <c r="A29" s="5" t="s">
        <v>90</v>
      </c>
      <c r="B29" s="5" t="s">
        <v>10</v>
      </c>
      <c r="C29" s="5" t="n">
        <v>2</v>
      </c>
      <c r="D29" s="5" t="n">
        <v>17</v>
      </c>
      <c r="E29" s="5" t="n">
        <v>2</v>
      </c>
      <c r="F29" s="5" t="s">
        <v>124</v>
      </c>
      <c r="G29" s="5" t="s">
        <v>142</v>
      </c>
      <c r="H29" s="7" t="n">
        <v>4500000</v>
      </c>
      <c r="I29" s="7" t="n">
        <v>2400000</v>
      </c>
      <c r="J29" s="5" t="s">
        <v>74</v>
      </c>
      <c r="K29" s="5" t="n">
        <v>10</v>
      </c>
      <c r="L29" s="5" t="n">
        <v>5</v>
      </c>
      <c r="M29" s="13" t="b">
        <f aca="false">TRUE()</f>
        <v>1</v>
      </c>
      <c r="N29" s="5" t="s">
        <v>169</v>
      </c>
      <c r="O29" s="5" t="n">
        <v>2599</v>
      </c>
    </row>
    <row r="30" customFormat="false" ht="15" hidden="false" customHeight="true" outlineLevel="0" collapsed="false">
      <c r="A30" s="5" t="s">
        <v>90</v>
      </c>
      <c r="B30" s="5" t="s">
        <v>10</v>
      </c>
      <c r="C30" s="5" t="n">
        <v>2</v>
      </c>
      <c r="D30" s="5" t="n">
        <v>27</v>
      </c>
      <c r="E30" s="5" t="n">
        <v>3</v>
      </c>
      <c r="F30" s="5" t="s">
        <v>128</v>
      </c>
      <c r="G30" s="5" t="s">
        <v>142</v>
      </c>
      <c r="H30" s="7" t="n">
        <v>2200000</v>
      </c>
      <c r="I30" s="7" t="n">
        <v>1300000</v>
      </c>
      <c r="J30" s="5" t="s">
        <v>74</v>
      </c>
      <c r="K30" s="5" t="n">
        <v>35</v>
      </c>
      <c r="L30" s="5" t="n">
        <v>5</v>
      </c>
      <c r="M30" s="13" t="b">
        <f aca="false">TRUE()</f>
        <v>1</v>
      </c>
      <c r="N30" s="5" t="s">
        <v>170</v>
      </c>
      <c r="O30" s="5" t="n">
        <v>2443</v>
      </c>
    </row>
    <row r="31" customFormat="false" ht="15" hidden="false" customHeight="true" outlineLevel="0" collapsed="false">
      <c r="A31" s="5" t="s">
        <v>90</v>
      </c>
      <c r="B31" s="5" t="s">
        <v>10</v>
      </c>
      <c r="C31" s="5" t="n">
        <v>2</v>
      </c>
      <c r="D31" s="5" t="n">
        <v>28</v>
      </c>
      <c r="E31" s="5" t="n">
        <v>3</v>
      </c>
      <c r="F31" s="5" t="s">
        <v>124</v>
      </c>
      <c r="G31" s="5" t="s">
        <v>142</v>
      </c>
      <c r="H31" s="7" t="n">
        <v>4000000</v>
      </c>
      <c r="I31" s="7" t="n">
        <v>2200000</v>
      </c>
      <c r="J31" s="5" t="s">
        <v>74</v>
      </c>
      <c r="K31" s="5" t="n">
        <v>14</v>
      </c>
      <c r="L31" s="5" t="n">
        <v>5</v>
      </c>
      <c r="M31" s="13" t="b">
        <f aca="false">TRUE()</f>
        <v>1</v>
      </c>
      <c r="N31" s="5" t="s">
        <v>171</v>
      </c>
      <c r="O31" s="5" t="n">
        <v>2774</v>
      </c>
    </row>
    <row r="32" customFormat="false" ht="15" hidden="false" customHeight="true" outlineLevel="0" collapsed="false">
      <c r="A32" s="5" t="s">
        <v>90</v>
      </c>
      <c r="B32" s="5" t="s">
        <v>10</v>
      </c>
      <c r="C32" s="5" t="n">
        <v>2</v>
      </c>
      <c r="D32" s="5" t="n">
        <v>38</v>
      </c>
      <c r="E32" s="5" t="n">
        <v>4</v>
      </c>
      <c r="F32" s="5" t="s">
        <v>128</v>
      </c>
      <c r="G32" s="5" t="s">
        <v>142</v>
      </c>
      <c r="H32" s="7" t="n">
        <v>2800000</v>
      </c>
      <c r="I32" s="7" t="n">
        <v>1600000</v>
      </c>
      <c r="J32" s="5" t="s">
        <v>74</v>
      </c>
      <c r="K32" s="5" t="n">
        <v>25</v>
      </c>
      <c r="L32" s="5" t="n">
        <v>5</v>
      </c>
      <c r="M32" s="13" t="b">
        <f aca="false">TRUE()</f>
        <v>1</v>
      </c>
      <c r="N32" s="5" t="s">
        <v>172</v>
      </c>
      <c r="O32" s="5" t="n">
        <v>3349</v>
      </c>
    </row>
    <row r="33" customFormat="false" ht="15" hidden="false" customHeight="true" outlineLevel="0" collapsed="false">
      <c r="A33" s="5" t="s">
        <v>90</v>
      </c>
      <c r="B33" s="5" t="s">
        <v>10</v>
      </c>
      <c r="C33" s="5" t="n">
        <v>2</v>
      </c>
      <c r="D33" s="5" t="n">
        <v>39</v>
      </c>
      <c r="E33" s="5" t="n">
        <v>4</v>
      </c>
      <c r="F33" s="5" t="s">
        <v>124</v>
      </c>
      <c r="G33" s="5" t="s">
        <v>142</v>
      </c>
      <c r="H33" s="7" t="n">
        <v>3500000</v>
      </c>
      <c r="I33" s="7" t="n">
        <v>2000000</v>
      </c>
      <c r="J33" s="5" t="s">
        <v>74</v>
      </c>
      <c r="K33" s="5" t="n">
        <v>20</v>
      </c>
      <c r="L33" s="5" t="n">
        <v>5</v>
      </c>
      <c r="M33" s="13" t="b">
        <f aca="false">TRUE()</f>
        <v>1</v>
      </c>
      <c r="N33" s="5" t="s">
        <v>173</v>
      </c>
      <c r="O33" s="5" t="n">
        <v>2464</v>
      </c>
    </row>
    <row r="34" customFormat="false" ht="15" hidden="false" customHeight="true" outlineLevel="0" collapsed="false">
      <c r="A34" s="5" t="s">
        <v>94</v>
      </c>
      <c r="B34" s="5" t="s">
        <v>11</v>
      </c>
      <c r="C34" s="5" t="n">
        <v>1</v>
      </c>
      <c r="D34" s="5" t="n">
        <v>5</v>
      </c>
      <c r="E34" s="5" t="n">
        <v>1</v>
      </c>
      <c r="F34" s="5" t="s">
        <v>128</v>
      </c>
      <c r="G34" s="5" t="s">
        <v>140</v>
      </c>
      <c r="H34" s="7" t="n">
        <v>400000</v>
      </c>
      <c r="I34" s="7"/>
      <c r="J34" s="5" t="s">
        <v>174</v>
      </c>
      <c r="K34" s="5" t="n">
        <v>50</v>
      </c>
      <c r="L34" s="5"/>
      <c r="M34" s="13" t="b">
        <f aca="false">FALSE()</f>
        <v>0</v>
      </c>
      <c r="N34" s="5" t="s">
        <v>175</v>
      </c>
      <c r="O34" s="5" t="n">
        <v>981</v>
      </c>
    </row>
    <row r="35" customFormat="false" ht="15" hidden="false" customHeight="true" outlineLevel="0" collapsed="false">
      <c r="A35" s="5" t="s">
        <v>94</v>
      </c>
      <c r="B35" s="5" t="s">
        <v>11</v>
      </c>
      <c r="C35" s="5" t="n">
        <v>1</v>
      </c>
      <c r="D35" s="5" t="n">
        <v>6</v>
      </c>
      <c r="E35" s="5" t="n">
        <v>1</v>
      </c>
      <c r="F35" s="5" t="s">
        <v>124</v>
      </c>
      <c r="G35" s="5" t="s">
        <v>140</v>
      </c>
      <c r="H35" s="7" t="n">
        <v>5000000</v>
      </c>
      <c r="I35" s="7" t="n">
        <v>2400000</v>
      </c>
      <c r="J35" s="5" t="s">
        <v>74</v>
      </c>
      <c r="K35" s="5" t="n">
        <v>10</v>
      </c>
      <c r="L35" s="5" t="n">
        <v>5</v>
      </c>
      <c r="M35" s="13" t="b">
        <f aca="false">TRUE()</f>
        <v>1</v>
      </c>
      <c r="N35" s="5" t="s">
        <v>176</v>
      </c>
      <c r="O35" s="5" t="n">
        <v>1450</v>
      </c>
    </row>
    <row r="36" customFormat="false" ht="15" hidden="false" customHeight="true" outlineLevel="0" collapsed="false">
      <c r="A36" s="5" t="s">
        <v>94</v>
      </c>
      <c r="B36" s="5" t="s">
        <v>11</v>
      </c>
      <c r="C36" s="5" t="n">
        <v>1</v>
      </c>
      <c r="D36" s="5" t="n">
        <v>17</v>
      </c>
      <c r="E36" s="5" t="n">
        <v>2</v>
      </c>
      <c r="F36" s="5" t="s">
        <v>128</v>
      </c>
      <c r="G36" s="5" t="s">
        <v>142</v>
      </c>
      <c r="H36" s="7" t="n">
        <v>400000</v>
      </c>
      <c r="I36" s="7"/>
      <c r="J36" s="5" t="s">
        <v>174</v>
      </c>
      <c r="K36" s="5" t="n">
        <v>50</v>
      </c>
      <c r="L36" s="5"/>
      <c r="M36" s="13" t="b">
        <f aca="false">FALSE()</f>
        <v>0</v>
      </c>
      <c r="N36" s="5" t="s">
        <v>177</v>
      </c>
      <c r="O36" s="5" t="n">
        <v>1733</v>
      </c>
    </row>
    <row r="37" customFormat="false" ht="15" hidden="false" customHeight="true" outlineLevel="0" collapsed="false">
      <c r="A37" s="5" t="s">
        <v>94</v>
      </c>
      <c r="B37" s="5" t="s">
        <v>11</v>
      </c>
      <c r="C37" s="5" t="n">
        <v>1</v>
      </c>
      <c r="D37" s="5" t="n">
        <v>18</v>
      </c>
      <c r="E37" s="5" t="n">
        <v>2</v>
      </c>
      <c r="F37" s="5" t="s">
        <v>124</v>
      </c>
      <c r="G37" s="5" t="s">
        <v>142</v>
      </c>
      <c r="H37" s="7" t="n">
        <v>5000000</v>
      </c>
      <c r="I37" s="7" t="n">
        <v>2400000</v>
      </c>
      <c r="J37" s="5" t="s">
        <v>74</v>
      </c>
      <c r="K37" s="5" t="n">
        <v>10</v>
      </c>
      <c r="L37" s="5" t="n">
        <v>5</v>
      </c>
      <c r="M37" s="13" t="b">
        <f aca="false">TRUE()</f>
        <v>1</v>
      </c>
      <c r="N37" s="5" t="s">
        <v>178</v>
      </c>
      <c r="O37" s="5" t="n">
        <v>2417</v>
      </c>
    </row>
    <row r="38" customFormat="false" ht="15" hidden="false" customHeight="true" outlineLevel="0" collapsed="false">
      <c r="A38" s="5" t="s">
        <v>94</v>
      </c>
      <c r="B38" s="5" t="s">
        <v>11</v>
      </c>
      <c r="C38" s="5" t="n">
        <v>1</v>
      </c>
      <c r="D38" s="5" t="n">
        <v>28</v>
      </c>
      <c r="E38" s="5" t="n">
        <v>3</v>
      </c>
      <c r="F38" s="5" t="s">
        <v>128</v>
      </c>
      <c r="G38" s="5" t="s">
        <v>142</v>
      </c>
      <c r="H38" s="7" t="n">
        <v>1200000</v>
      </c>
      <c r="I38" s="7" t="n">
        <v>600000</v>
      </c>
      <c r="J38" s="5" t="s">
        <v>74</v>
      </c>
      <c r="K38" s="5" t="n">
        <v>50</v>
      </c>
      <c r="L38" s="5" t="n">
        <v>5</v>
      </c>
      <c r="M38" s="13" t="b">
        <f aca="false">TRUE()</f>
        <v>1</v>
      </c>
      <c r="N38" s="5" t="s">
        <v>179</v>
      </c>
      <c r="O38" s="5" t="n">
        <v>2510</v>
      </c>
    </row>
    <row r="39" customFormat="false" ht="15" hidden="false" customHeight="true" outlineLevel="0" collapsed="false">
      <c r="A39" s="5" t="s">
        <v>94</v>
      </c>
      <c r="B39" s="5" t="s">
        <v>11</v>
      </c>
      <c r="C39" s="5" t="n">
        <v>1</v>
      </c>
      <c r="D39" s="5" t="n">
        <v>29</v>
      </c>
      <c r="E39" s="5" t="n">
        <v>3</v>
      </c>
      <c r="F39" s="5" t="s">
        <v>124</v>
      </c>
      <c r="G39" s="5" t="s">
        <v>142</v>
      </c>
      <c r="H39" s="7" t="n">
        <v>5000000</v>
      </c>
      <c r="I39" s="7" t="n">
        <v>2400000</v>
      </c>
      <c r="J39" s="5" t="s">
        <v>74</v>
      </c>
      <c r="K39" s="5" t="n">
        <v>10</v>
      </c>
      <c r="L39" s="5" t="n">
        <v>5</v>
      </c>
      <c r="M39" s="13" t="b">
        <f aca="false">TRUE()</f>
        <v>1</v>
      </c>
      <c r="N39" s="5" t="s">
        <v>180</v>
      </c>
      <c r="O39" s="5" t="n">
        <v>3477</v>
      </c>
    </row>
    <row r="40" customFormat="false" ht="15" hidden="false" customHeight="true" outlineLevel="0" collapsed="false">
      <c r="A40" s="5" t="s">
        <v>94</v>
      </c>
      <c r="B40" s="5" t="s">
        <v>11</v>
      </c>
      <c r="C40" s="5" t="n">
        <v>1</v>
      </c>
      <c r="D40" s="5" t="n">
        <v>40</v>
      </c>
      <c r="E40" s="5" t="n">
        <v>4</v>
      </c>
      <c r="F40" s="5" t="s">
        <v>128</v>
      </c>
      <c r="G40" s="5" t="s">
        <v>142</v>
      </c>
      <c r="H40" s="7" t="n">
        <v>2000000</v>
      </c>
      <c r="I40" s="7" t="n">
        <v>1200000</v>
      </c>
      <c r="J40" s="5" t="s">
        <v>74</v>
      </c>
      <c r="K40" s="5" t="n">
        <v>25</v>
      </c>
      <c r="L40" s="5" t="n">
        <v>5</v>
      </c>
      <c r="M40" s="13" t="b">
        <f aca="false">TRUE()</f>
        <v>1</v>
      </c>
      <c r="N40" s="5" t="s">
        <v>181</v>
      </c>
      <c r="O40" s="5" t="n">
        <v>3179</v>
      </c>
    </row>
    <row r="41" customFormat="false" ht="15" hidden="false" customHeight="true" outlineLevel="0" collapsed="false">
      <c r="A41" s="5" t="s">
        <v>94</v>
      </c>
      <c r="B41" s="5" t="s">
        <v>11</v>
      </c>
      <c r="C41" s="5" t="n">
        <v>1</v>
      </c>
      <c r="D41" s="5" t="n">
        <v>41</v>
      </c>
      <c r="E41" s="5" t="n">
        <v>4</v>
      </c>
      <c r="F41" s="5" t="s">
        <v>124</v>
      </c>
      <c r="G41" s="5" t="s">
        <v>142</v>
      </c>
      <c r="H41" s="7" t="n">
        <v>3000000</v>
      </c>
      <c r="I41" s="7" t="n">
        <v>2000000</v>
      </c>
      <c r="J41" s="5" t="s">
        <v>74</v>
      </c>
      <c r="K41" s="5" t="n">
        <v>15</v>
      </c>
      <c r="L41" s="5" t="n">
        <v>5</v>
      </c>
      <c r="M41" s="13" t="b">
        <f aca="false">TRUE()</f>
        <v>1</v>
      </c>
      <c r="N41" s="5" t="s">
        <v>182</v>
      </c>
      <c r="O41" s="5" t="n">
        <v>4930</v>
      </c>
    </row>
    <row r="42" customFormat="false" ht="15" hidden="false" customHeight="true" outlineLevel="0" collapsed="false">
      <c r="A42" s="5" t="s">
        <v>99</v>
      </c>
      <c r="B42" s="5" t="s">
        <v>11</v>
      </c>
      <c r="C42" s="5" t="n">
        <v>2</v>
      </c>
      <c r="D42" s="5" t="n">
        <v>5</v>
      </c>
      <c r="E42" s="5" t="n">
        <v>1</v>
      </c>
      <c r="F42" s="5" t="s">
        <v>128</v>
      </c>
      <c r="G42" s="5" t="s">
        <v>140</v>
      </c>
      <c r="H42" s="7" t="n">
        <v>400000</v>
      </c>
      <c r="I42" s="7"/>
      <c r="J42" s="5" t="s">
        <v>174</v>
      </c>
      <c r="K42" s="5" t="n">
        <v>50</v>
      </c>
      <c r="L42" s="5"/>
      <c r="M42" s="13" t="b">
        <f aca="false">FALSE()</f>
        <v>0</v>
      </c>
      <c r="N42" s="5" t="s">
        <v>183</v>
      </c>
      <c r="O42" s="5" t="n">
        <v>1192</v>
      </c>
    </row>
    <row r="43" customFormat="false" ht="15" hidden="false" customHeight="true" outlineLevel="0" collapsed="false">
      <c r="A43" s="5" t="s">
        <v>99</v>
      </c>
      <c r="B43" s="5" t="s">
        <v>11</v>
      </c>
      <c r="C43" s="5" t="n">
        <v>2</v>
      </c>
      <c r="D43" s="5" t="n">
        <v>6</v>
      </c>
      <c r="E43" s="5" t="n">
        <v>1</v>
      </c>
      <c r="F43" s="5" t="s">
        <v>124</v>
      </c>
      <c r="G43" s="5" t="s">
        <v>140</v>
      </c>
      <c r="H43" s="7" t="n">
        <v>2500000</v>
      </c>
      <c r="I43" s="7" t="n">
        <v>2200000</v>
      </c>
      <c r="J43" s="5" t="s">
        <v>74</v>
      </c>
      <c r="K43" s="5" t="n">
        <v>25</v>
      </c>
      <c r="L43" s="5" t="n">
        <v>5</v>
      </c>
      <c r="M43" s="13" t="b">
        <f aca="false">TRUE()</f>
        <v>1</v>
      </c>
      <c r="N43" s="5" t="s">
        <v>184</v>
      </c>
      <c r="O43" s="5" t="n">
        <v>2617</v>
      </c>
    </row>
    <row r="44" customFormat="false" ht="15" hidden="false" customHeight="true" outlineLevel="0" collapsed="false">
      <c r="A44" s="5" t="s">
        <v>99</v>
      </c>
      <c r="B44" s="5" t="s">
        <v>11</v>
      </c>
      <c r="C44" s="5" t="n">
        <v>2</v>
      </c>
      <c r="D44" s="5" t="n">
        <v>18</v>
      </c>
      <c r="E44" s="5" t="n">
        <v>2</v>
      </c>
      <c r="F44" s="5" t="s">
        <v>128</v>
      </c>
      <c r="G44" s="5" t="s">
        <v>142</v>
      </c>
      <c r="H44" s="7" t="n">
        <v>400000</v>
      </c>
      <c r="I44" s="7"/>
      <c r="J44" s="5" t="s">
        <v>174</v>
      </c>
      <c r="K44" s="5" t="n">
        <v>50</v>
      </c>
      <c r="L44" s="5"/>
      <c r="M44" s="13" t="b">
        <f aca="false">TRUE()</f>
        <v>1</v>
      </c>
      <c r="N44" s="5" t="s">
        <v>185</v>
      </c>
      <c r="O44" s="5" t="n">
        <v>2562</v>
      </c>
    </row>
    <row r="45" customFormat="false" ht="15" hidden="false" customHeight="true" outlineLevel="0" collapsed="false">
      <c r="A45" s="5" t="s">
        <v>99</v>
      </c>
      <c r="B45" s="5" t="s">
        <v>11</v>
      </c>
      <c r="C45" s="5" t="n">
        <v>2</v>
      </c>
      <c r="D45" s="5" t="n">
        <v>19</v>
      </c>
      <c r="E45" s="5" t="n">
        <v>2</v>
      </c>
      <c r="F45" s="5" t="s">
        <v>124</v>
      </c>
      <c r="G45" s="5" t="s">
        <v>142</v>
      </c>
      <c r="H45" s="7" t="n">
        <v>2500000</v>
      </c>
      <c r="I45" s="7" t="n">
        <v>2200000</v>
      </c>
      <c r="J45" s="5" t="s">
        <v>74</v>
      </c>
      <c r="K45" s="5" t="n">
        <v>25</v>
      </c>
      <c r="L45" s="5" t="n">
        <v>4</v>
      </c>
      <c r="M45" s="13" t="b">
        <f aca="false">TRUE()</f>
        <v>1</v>
      </c>
      <c r="N45" s="5" t="s">
        <v>186</v>
      </c>
      <c r="O45" s="5" t="n">
        <v>3248</v>
      </c>
    </row>
    <row r="46" customFormat="false" ht="15" hidden="false" customHeight="true" outlineLevel="0" collapsed="false">
      <c r="A46" s="5" t="s">
        <v>99</v>
      </c>
      <c r="B46" s="5" t="s">
        <v>11</v>
      </c>
      <c r="C46" s="5" t="n">
        <v>2</v>
      </c>
      <c r="D46" s="5" t="n">
        <v>30</v>
      </c>
      <c r="E46" s="5" t="n">
        <v>3</v>
      </c>
      <c r="F46" s="5" t="s">
        <v>128</v>
      </c>
      <c r="G46" s="5" t="s">
        <v>142</v>
      </c>
      <c r="H46" s="7" t="n">
        <v>400000</v>
      </c>
      <c r="I46" s="7"/>
      <c r="J46" s="5" t="s">
        <v>174</v>
      </c>
      <c r="K46" s="5" t="n">
        <v>50</v>
      </c>
      <c r="L46" s="5" t="n">
        <v>8</v>
      </c>
      <c r="M46" s="13" t="b">
        <f aca="false">TRUE()</f>
        <v>1</v>
      </c>
      <c r="N46" s="5" t="s">
        <v>187</v>
      </c>
      <c r="O46" s="5" t="n">
        <v>2813</v>
      </c>
    </row>
    <row r="47" customFormat="false" ht="15" hidden="false" customHeight="true" outlineLevel="0" collapsed="false">
      <c r="A47" s="5" t="s">
        <v>99</v>
      </c>
      <c r="B47" s="5" t="s">
        <v>11</v>
      </c>
      <c r="C47" s="5" t="n">
        <v>2</v>
      </c>
      <c r="D47" s="5" t="n">
        <v>31</v>
      </c>
      <c r="E47" s="5" t="n">
        <v>3</v>
      </c>
      <c r="F47" s="5" t="s">
        <v>124</v>
      </c>
      <c r="G47" s="5" t="s">
        <v>142</v>
      </c>
      <c r="H47" s="7" t="n">
        <v>2500000</v>
      </c>
      <c r="I47" s="7" t="n">
        <v>2200000</v>
      </c>
      <c r="J47" s="5" t="s">
        <v>74</v>
      </c>
      <c r="K47" s="5" t="n">
        <v>25</v>
      </c>
      <c r="L47" s="5" t="n">
        <v>4</v>
      </c>
      <c r="M47" s="13" t="b">
        <f aca="false">TRUE()</f>
        <v>1</v>
      </c>
      <c r="N47" s="5" t="s">
        <v>188</v>
      </c>
      <c r="O47" s="5" t="n">
        <v>4489</v>
      </c>
    </row>
    <row r="48" customFormat="false" ht="15" hidden="false" customHeight="true" outlineLevel="0" collapsed="false">
      <c r="A48" s="5" t="s">
        <v>99</v>
      </c>
      <c r="B48" s="5" t="s">
        <v>11</v>
      </c>
      <c r="C48" s="5" t="n">
        <v>2</v>
      </c>
      <c r="D48" s="5" t="n">
        <v>41</v>
      </c>
      <c r="E48" s="5" t="n">
        <v>4</v>
      </c>
      <c r="F48" s="5" t="s">
        <v>128</v>
      </c>
      <c r="G48" s="5" t="s">
        <v>142</v>
      </c>
      <c r="H48" s="7" t="n">
        <v>1400000</v>
      </c>
      <c r="I48" s="7" t="n">
        <v>800000</v>
      </c>
      <c r="J48" s="5" t="s">
        <v>74</v>
      </c>
      <c r="K48" s="5" t="n">
        <v>45</v>
      </c>
      <c r="L48" s="5" t="n">
        <v>8</v>
      </c>
      <c r="M48" s="13" t="b">
        <f aca="false">TRUE()</f>
        <v>1</v>
      </c>
      <c r="N48" s="5" t="s">
        <v>189</v>
      </c>
      <c r="O48" s="5" t="n">
        <v>3422</v>
      </c>
    </row>
    <row r="49" customFormat="false" ht="15" hidden="false" customHeight="true" outlineLevel="0" collapsed="false">
      <c r="A49" s="5" t="s">
        <v>99</v>
      </c>
      <c r="B49" s="5" t="s">
        <v>11</v>
      </c>
      <c r="C49" s="5" t="n">
        <v>2</v>
      </c>
      <c r="D49" s="5" t="n">
        <v>43</v>
      </c>
      <c r="E49" s="5" t="n">
        <v>4</v>
      </c>
      <c r="F49" s="5" t="s">
        <v>124</v>
      </c>
      <c r="G49" s="5" t="s">
        <v>142</v>
      </c>
      <c r="H49" s="7" t="n">
        <v>2100000</v>
      </c>
      <c r="I49" s="7" t="n">
        <v>1500000</v>
      </c>
      <c r="J49" s="5" t="s">
        <v>74</v>
      </c>
      <c r="K49" s="5" t="n">
        <v>30</v>
      </c>
      <c r="L49" s="5" t="n">
        <v>8</v>
      </c>
      <c r="M49" s="13" t="b">
        <f aca="false">TRUE()</f>
        <v>1</v>
      </c>
      <c r="N49" s="5" t="s">
        <v>190</v>
      </c>
      <c r="O49" s="5" t="n">
        <v>5053</v>
      </c>
    </row>
    <row r="50" customFormat="false" ht="15" hidden="false" customHeight="true" outlineLevel="0" collapsed="false">
      <c r="A50" s="5" t="s">
        <v>104</v>
      </c>
      <c r="B50" s="5" t="s">
        <v>13</v>
      </c>
      <c r="C50" s="5" t="n">
        <v>1</v>
      </c>
      <c r="D50" s="5" t="n">
        <v>5</v>
      </c>
      <c r="E50" s="5" t="n">
        <v>1</v>
      </c>
      <c r="F50" s="5" t="s">
        <v>128</v>
      </c>
      <c r="G50" s="5" t="s">
        <v>140</v>
      </c>
      <c r="H50" s="7" t="n">
        <v>400000</v>
      </c>
      <c r="I50" s="7"/>
      <c r="J50" s="5" t="s">
        <v>174</v>
      </c>
      <c r="K50" s="5" t="n">
        <v>50</v>
      </c>
      <c r="L50" s="5"/>
      <c r="M50" s="13" t="b">
        <f aca="false">FALSE()</f>
        <v>0</v>
      </c>
      <c r="N50" s="5" t="s">
        <v>191</v>
      </c>
      <c r="O50" s="5" t="n">
        <v>2073</v>
      </c>
    </row>
    <row r="51" customFormat="false" ht="15" hidden="false" customHeight="true" outlineLevel="0" collapsed="false">
      <c r="A51" s="5" t="s">
        <v>104</v>
      </c>
      <c r="B51" s="5" t="s">
        <v>13</v>
      </c>
      <c r="C51" s="5" t="n">
        <v>1</v>
      </c>
      <c r="D51" s="5" t="n">
        <v>6</v>
      </c>
      <c r="E51" s="5" t="n">
        <v>1</v>
      </c>
      <c r="F51" s="5" t="s">
        <v>124</v>
      </c>
      <c r="G51" s="5" t="s">
        <v>140</v>
      </c>
      <c r="H51" s="7" t="n">
        <v>3000000</v>
      </c>
      <c r="I51" s="7" t="n">
        <v>2400000</v>
      </c>
      <c r="J51" s="5" t="s">
        <v>74</v>
      </c>
      <c r="K51" s="5" t="n">
        <v>15</v>
      </c>
      <c r="L51" s="5" t="n">
        <v>3</v>
      </c>
      <c r="M51" s="13" t="b">
        <f aca="false">TRUE()</f>
        <v>1</v>
      </c>
      <c r="N51" s="5" t="s">
        <v>192</v>
      </c>
      <c r="O51" s="5" t="n">
        <v>2849</v>
      </c>
    </row>
    <row r="52" customFormat="false" ht="15" hidden="false" customHeight="true" outlineLevel="0" collapsed="false">
      <c r="A52" s="5" t="s">
        <v>104</v>
      </c>
      <c r="B52" s="5" t="s">
        <v>13</v>
      </c>
      <c r="C52" s="5" t="n">
        <v>1</v>
      </c>
      <c r="D52" s="5" t="n">
        <v>17</v>
      </c>
      <c r="E52" s="5" t="n">
        <v>2</v>
      </c>
      <c r="F52" s="5" t="s">
        <v>128</v>
      </c>
      <c r="G52" s="5" t="s">
        <v>142</v>
      </c>
      <c r="H52" s="7" t="n">
        <v>1100000</v>
      </c>
      <c r="I52" s="7" t="n">
        <v>900000</v>
      </c>
      <c r="J52" s="5" t="s">
        <v>74</v>
      </c>
      <c r="K52" s="5" t="n">
        <v>30</v>
      </c>
      <c r="L52" s="5" t="n">
        <v>5</v>
      </c>
      <c r="M52" s="13" t="b">
        <f aca="false">TRUE()</f>
        <v>1</v>
      </c>
      <c r="N52" s="5" t="s">
        <v>193</v>
      </c>
      <c r="O52" s="5" t="n">
        <v>4267</v>
      </c>
    </row>
    <row r="53" customFormat="false" ht="15" hidden="false" customHeight="true" outlineLevel="0" collapsed="false">
      <c r="A53" s="5" t="s">
        <v>104</v>
      </c>
      <c r="B53" s="5" t="s">
        <v>13</v>
      </c>
      <c r="C53" s="5" t="n">
        <v>1</v>
      </c>
      <c r="D53" s="5" t="n">
        <v>18</v>
      </c>
      <c r="E53" s="5" t="n">
        <v>2</v>
      </c>
      <c r="F53" s="5" t="s">
        <v>124</v>
      </c>
      <c r="G53" s="5" t="s">
        <v>142</v>
      </c>
      <c r="H53" s="7" t="n">
        <v>3000000</v>
      </c>
      <c r="I53" s="7" t="n">
        <v>2400000</v>
      </c>
      <c r="J53" s="5" t="s">
        <v>74</v>
      </c>
      <c r="K53" s="5" t="n">
        <v>15</v>
      </c>
      <c r="L53" s="5" t="n">
        <v>3</v>
      </c>
      <c r="M53" s="13" t="b">
        <f aca="false">TRUE()</f>
        <v>1</v>
      </c>
      <c r="N53" s="5" t="s">
        <v>194</v>
      </c>
      <c r="O53" s="5" t="n">
        <v>3563</v>
      </c>
    </row>
    <row r="54" customFormat="false" ht="15" hidden="false" customHeight="true" outlineLevel="0" collapsed="false">
      <c r="A54" s="5" t="s">
        <v>104</v>
      </c>
      <c r="B54" s="5" t="s">
        <v>13</v>
      </c>
      <c r="C54" s="5" t="n">
        <v>1</v>
      </c>
      <c r="D54" s="5" t="n">
        <v>29</v>
      </c>
      <c r="E54" s="5" t="n">
        <v>3</v>
      </c>
      <c r="F54" s="5" t="s">
        <v>128</v>
      </c>
      <c r="G54" s="5" t="s">
        <v>142</v>
      </c>
      <c r="H54" s="7" t="n">
        <v>1300000</v>
      </c>
      <c r="I54" s="7" t="n">
        <v>1150000</v>
      </c>
      <c r="J54" s="5" t="s">
        <v>74</v>
      </c>
      <c r="K54" s="5" t="n">
        <v>28</v>
      </c>
      <c r="L54" s="5" t="n">
        <v>5</v>
      </c>
      <c r="M54" s="13" t="b">
        <f aca="false">TRUE()</f>
        <v>1</v>
      </c>
      <c r="N54" s="5" t="s">
        <v>195</v>
      </c>
      <c r="O54" s="5" t="n">
        <v>4059</v>
      </c>
    </row>
    <row r="55" customFormat="false" ht="15" hidden="false" customHeight="true" outlineLevel="0" collapsed="false">
      <c r="A55" s="5" t="s">
        <v>104</v>
      </c>
      <c r="B55" s="5" t="s">
        <v>13</v>
      </c>
      <c r="C55" s="5" t="n">
        <v>1</v>
      </c>
      <c r="D55" s="5" t="n">
        <v>30</v>
      </c>
      <c r="E55" s="5" t="n">
        <v>3</v>
      </c>
      <c r="F55" s="5" t="s">
        <v>124</v>
      </c>
      <c r="G55" s="5" t="s">
        <v>142</v>
      </c>
      <c r="H55" s="7" t="n">
        <v>3000000</v>
      </c>
      <c r="I55" s="7" t="n">
        <v>2400000</v>
      </c>
      <c r="J55" s="5" t="s">
        <v>74</v>
      </c>
      <c r="K55" s="5" t="n">
        <v>15</v>
      </c>
      <c r="L55" s="5" t="n">
        <v>5</v>
      </c>
      <c r="M55" s="13" t="b">
        <f aca="false">TRUE()</f>
        <v>1</v>
      </c>
      <c r="N55" s="5" t="s">
        <v>196</v>
      </c>
      <c r="O55" s="5" t="n">
        <v>3006</v>
      </c>
    </row>
    <row r="56" customFormat="false" ht="15" hidden="false" customHeight="true" outlineLevel="0" collapsed="false">
      <c r="A56" s="5" t="s">
        <v>104</v>
      </c>
      <c r="B56" s="5" t="s">
        <v>13</v>
      </c>
      <c r="C56" s="5" t="n">
        <v>1</v>
      </c>
      <c r="D56" s="5" t="n">
        <v>40</v>
      </c>
      <c r="E56" s="5" t="n">
        <v>4</v>
      </c>
      <c r="F56" s="5" t="s">
        <v>128</v>
      </c>
      <c r="G56" s="5" t="s">
        <v>142</v>
      </c>
      <c r="H56" s="7" t="n">
        <v>1500000</v>
      </c>
      <c r="I56" s="7" t="n">
        <v>1350000</v>
      </c>
      <c r="J56" s="5" t="s">
        <v>74</v>
      </c>
      <c r="K56" s="5" t="n">
        <v>25</v>
      </c>
      <c r="L56" s="5" t="n">
        <v>5</v>
      </c>
      <c r="M56" s="13" t="b">
        <f aca="false">TRUE()</f>
        <v>1</v>
      </c>
      <c r="N56" s="5" t="s">
        <v>197</v>
      </c>
      <c r="O56" s="5" t="n">
        <v>3986</v>
      </c>
    </row>
    <row r="57" customFormat="false" ht="15" hidden="false" customHeight="true" outlineLevel="0" collapsed="false">
      <c r="A57" s="5" t="s">
        <v>104</v>
      </c>
      <c r="B57" s="5" t="s">
        <v>13</v>
      </c>
      <c r="C57" s="5" t="n">
        <v>1</v>
      </c>
      <c r="D57" s="5" t="n">
        <v>41</v>
      </c>
      <c r="E57" s="5" t="n">
        <v>4</v>
      </c>
      <c r="F57" s="5" t="s">
        <v>124</v>
      </c>
      <c r="G57" s="5" t="s">
        <v>142</v>
      </c>
      <c r="H57" s="7" t="n">
        <v>2000000</v>
      </c>
      <c r="I57" s="7" t="n">
        <v>1800000</v>
      </c>
      <c r="J57" s="5" t="s">
        <v>74</v>
      </c>
      <c r="K57" s="5" t="n">
        <v>20</v>
      </c>
      <c r="L57" s="5" t="n">
        <v>5</v>
      </c>
      <c r="M57" s="13" t="b">
        <f aca="false">TRUE()</f>
        <v>1</v>
      </c>
      <c r="N57" s="5" t="s">
        <v>198</v>
      </c>
      <c r="O57" s="5" t="n">
        <v>2676</v>
      </c>
    </row>
    <row r="58" customFormat="false" ht="15" hidden="false" customHeight="true" outlineLevel="0" collapsed="false">
      <c r="A58" s="5" t="s">
        <v>110</v>
      </c>
      <c r="B58" s="5" t="s">
        <v>13</v>
      </c>
      <c r="C58" s="5" t="n">
        <v>2</v>
      </c>
      <c r="D58" s="5" t="n">
        <v>5</v>
      </c>
      <c r="E58" s="5" t="n">
        <v>1</v>
      </c>
      <c r="F58" s="5" t="s">
        <v>128</v>
      </c>
      <c r="G58" s="5" t="s">
        <v>140</v>
      </c>
      <c r="H58" s="7" t="n">
        <v>400000</v>
      </c>
      <c r="I58" s="7"/>
      <c r="J58" s="5" t="s">
        <v>174</v>
      </c>
      <c r="K58" s="5" t="n">
        <v>50</v>
      </c>
      <c r="L58" s="5"/>
      <c r="M58" s="13" t="b">
        <f aca="false">FALSE()</f>
        <v>0</v>
      </c>
      <c r="N58" s="5" t="s">
        <v>199</v>
      </c>
      <c r="O58" s="5" t="n">
        <v>822</v>
      </c>
    </row>
    <row r="59" customFormat="false" ht="15" hidden="false" customHeight="true" outlineLevel="0" collapsed="false">
      <c r="A59" s="5" t="s">
        <v>110</v>
      </c>
      <c r="B59" s="5" t="s">
        <v>13</v>
      </c>
      <c r="C59" s="5" t="n">
        <v>2</v>
      </c>
      <c r="D59" s="5" t="n">
        <v>6</v>
      </c>
      <c r="E59" s="5" t="n">
        <v>1</v>
      </c>
      <c r="F59" s="5" t="s">
        <v>124</v>
      </c>
      <c r="G59" s="5" t="s">
        <v>142</v>
      </c>
      <c r="H59" s="7" t="n">
        <v>3000000</v>
      </c>
      <c r="I59" s="7" t="n">
        <v>2200000</v>
      </c>
      <c r="J59" s="5" t="s">
        <v>74</v>
      </c>
      <c r="K59" s="5" t="n">
        <v>10</v>
      </c>
      <c r="L59" s="5" t="n">
        <v>5</v>
      </c>
      <c r="M59" s="13" t="b">
        <f aca="false">TRUE()</f>
        <v>1</v>
      </c>
      <c r="N59" s="5" t="s">
        <v>200</v>
      </c>
      <c r="O59" s="5" t="n">
        <v>1576</v>
      </c>
    </row>
    <row r="60" customFormat="false" ht="15" hidden="false" customHeight="true" outlineLevel="0" collapsed="false">
      <c r="A60" s="5" t="s">
        <v>110</v>
      </c>
      <c r="B60" s="5" t="s">
        <v>13</v>
      </c>
      <c r="C60" s="5" t="n">
        <v>2</v>
      </c>
      <c r="D60" s="5" t="n">
        <v>17</v>
      </c>
      <c r="E60" s="5" t="n">
        <v>2</v>
      </c>
      <c r="F60" s="5" t="s">
        <v>128</v>
      </c>
      <c r="G60" s="5" t="s">
        <v>142</v>
      </c>
      <c r="H60" s="7" t="n">
        <v>1000000</v>
      </c>
      <c r="I60" s="7" t="n">
        <v>550000</v>
      </c>
      <c r="J60" s="5" t="s">
        <v>74</v>
      </c>
      <c r="K60" s="5" t="n">
        <v>30</v>
      </c>
      <c r="L60" s="5" t="n">
        <v>6</v>
      </c>
      <c r="M60" s="13" t="b">
        <f aca="false">TRUE()</f>
        <v>1</v>
      </c>
      <c r="N60" s="5" t="s">
        <v>201</v>
      </c>
      <c r="O60" s="5" t="n">
        <v>2810</v>
      </c>
    </row>
    <row r="61" customFormat="false" ht="15" hidden="false" customHeight="true" outlineLevel="0" collapsed="false">
      <c r="A61" s="5" t="s">
        <v>110</v>
      </c>
      <c r="B61" s="5" t="s">
        <v>13</v>
      </c>
      <c r="C61" s="5" t="n">
        <v>2</v>
      </c>
      <c r="D61" s="5" t="n">
        <v>18</v>
      </c>
      <c r="E61" s="5" t="n">
        <v>2</v>
      </c>
      <c r="F61" s="5" t="s">
        <v>124</v>
      </c>
      <c r="G61" s="5" t="s">
        <v>142</v>
      </c>
      <c r="H61" s="7" t="n">
        <v>2600000</v>
      </c>
      <c r="I61" s="7" t="n">
        <v>2000000</v>
      </c>
      <c r="J61" s="5" t="s">
        <v>74</v>
      </c>
      <c r="K61" s="5" t="n">
        <v>15</v>
      </c>
      <c r="L61" s="5" t="n">
        <v>5</v>
      </c>
      <c r="M61" s="13" t="b">
        <f aca="false">TRUE()</f>
        <v>1</v>
      </c>
      <c r="N61" s="5" t="s">
        <v>202</v>
      </c>
      <c r="O61" s="5" t="n">
        <v>2699</v>
      </c>
    </row>
    <row r="62" customFormat="false" ht="15" hidden="false" customHeight="true" outlineLevel="0" collapsed="false">
      <c r="A62" s="5" t="s">
        <v>110</v>
      </c>
      <c r="B62" s="5" t="s">
        <v>13</v>
      </c>
      <c r="C62" s="5" t="n">
        <v>2</v>
      </c>
      <c r="D62" s="5" t="n">
        <v>28</v>
      </c>
      <c r="E62" s="5" t="n">
        <v>3</v>
      </c>
      <c r="F62" s="5" t="s">
        <v>128</v>
      </c>
      <c r="G62" s="5" t="s">
        <v>142</v>
      </c>
      <c r="H62" s="7" t="n">
        <v>1200000</v>
      </c>
      <c r="I62" s="7" t="n">
        <v>700000</v>
      </c>
      <c r="J62" s="5" t="s">
        <v>74</v>
      </c>
      <c r="K62" s="5" t="n">
        <v>25</v>
      </c>
      <c r="L62" s="5" t="n">
        <v>6</v>
      </c>
      <c r="M62" s="13" t="b">
        <f aca="false">TRUE()</f>
        <v>1</v>
      </c>
      <c r="N62" s="5" t="s">
        <v>203</v>
      </c>
      <c r="O62" s="5" t="n">
        <v>3287</v>
      </c>
    </row>
    <row r="63" customFormat="false" ht="15" hidden="false" customHeight="true" outlineLevel="0" collapsed="false">
      <c r="A63" s="5" t="s">
        <v>110</v>
      </c>
      <c r="B63" s="5" t="s">
        <v>13</v>
      </c>
      <c r="C63" s="5" t="n">
        <v>2</v>
      </c>
      <c r="D63" s="5" t="n">
        <v>29</v>
      </c>
      <c r="E63" s="5" t="n">
        <v>3</v>
      </c>
      <c r="F63" s="5" t="s">
        <v>124</v>
      </c>
      <c r="G63" s="5" t="s">
        <v>142</v>
      </c>
      <c r="H63" s="7" t="n">
        <v>2600000</v>
      </c>
      <c r="I63" s="7" t="n">
        <v>2000000</v>
      </c>
      <c r="J63" s="5" t="s">
        <v>74</v>
      </c>
      <c r="K63" s="5" t="n">
        <v>15</v>
      </c>
      <c r="L63" s="5" t="n">
        <v>6</v>
      </c>
      <c r="M63" s="13" t="b">
        <f aca="false">TRUE()</f>
        <v>1</v>
      </c>
      <c r="N63" s="5" t="s">
        <v>204</v>
      </c>
      <c r="O63" s="5" t="n">
        <v>3573</v>
      </c>
    </row>
    <row r="64" customFormat="false" ht="15" hidden="false" customHeight="true" outlineLevel="0" collapsed="false">
      <c r="A64" s="5" t="s">
        <v>110</v>
      </c>
      <c r="B64" s="5" t="s">
        <v>13</v>
      </c>
      <c r="C64" s="5" t="n">
        <v>2</v>
      </c>
      <c r="D64" s="5" t="n">
        <v>40</v>
      </c>
      <c r="E64" s="5" t="n">
        <v>4</v>
      </c>
      <c r="F64" s="5" t="s">
        <v>128</v>
      </c>
      <c r="G64" s="5" t="s">
        <v>142</v>
      </c>
      <c r="H64" s="7" t="n">
        <v>1500000</v>
      </c>
      <c r="I64" s="7" t="n">
        <v>900000</v>
      </c>
      <c r="J64" s="5" t="s">
        <v>74</v>
      </c>
      <c r="K64" s="5" t="n">
        <v>25</v>
      </c>
      <c r="L64" s="5" t="n">
        <v>6</v>
      </c>
      <c r="M64" s="13" t="b">
        <f aca="false">TRUE()</f>
        <v>1</v>
      </c>
      <c r="N64" s="5" t="s">
        <v>205</v>
      </c>
      <c r="O64" s="5" t="n">
        <v>3610</v>
      </c>
    </row>
    <row r="65" customFormat="false" ht="15" hidden="false" customHeight="true" outlineLevel="0" collapsed="false">
      <c r="A65" s="5" t="s">
        <v>110</v>
      </c>
      <c r="B65" s="5" t="s">
        <v>13</v>
      </c>
      <c r="C65" s="5" t="n">
        <v>2</v>
      </c>
      <c r="D65" s="5" t="n">
        <v>41</v>
      </c>
      <c r="E65" s="5" t="n">
        <v>4</v>
      </c>
      <c r="F65" s="5" t="s">
        <v>124</v>
      </c>
      <c r="G65" s="5" t="s">
        <v>142</v>
      </c>
      <c r="H65" s="7" t="n">
        <v>1800000</v>
      </c>
      <c r="I65" s="7" t="n">
        <v>1400000</v>
      </c>
      <c r="J65" s="5" t="s">
        <v>74</v>
      </c>
      <c r="K65" s="5" t="n">
        <v>25</v>
      </c>
      <c r="L65" s="5" t="n">
        <v>6</v>
      </c>
      <c r="M65" s="13" t="b">
        <f aca="false">TRUE()</f>
        <v>1</v>
      </c>
      <c r="N65" s="5" t="s">
        <v>206</v>
      </c>
      <c r="O65" s="5" t="n">
        <v>2798</v>
      </c>
    </row>
  </sheetData>
  <autoFilter ref="A1:O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2026-08-28T21:45:27Z</dcterms:created>
  <dc:creator>openpyxl</dc:creator>
  <dc:description/>
  <dc:language>en-US</dc:language>
  <cp:lastModifiedBy/>
  <dcterms:modified xsi:type="dcterms:W3CDTF">2026-08-28T21:45:41Z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